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e8bf2f673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ea3feaff584256"/>
    <x:sheet xmlns:r="http://schemas.openxmlformats.org/officeDocument/2006/relationships" name="Assumptions" sheetId="2" r:id="Rbef76d4f471c4ef2"/>
    <x:sheet xmlns:r="http://schemas.openxmlformats.org/officeDocument/2006/relationships" name="Build" sheetId="3" r:id="R6a44c788c4504740"/>
    <x:sheet xmlns:r="http://schemas.openxmlformats.org/officeDocument/2006/relationships" name="Run" sheetId="4" r:id="R9ca452cb7d834430"/>
    <x:sheet xmlns:r="http://schemas.openxmlformats.org/officeDocument/2006/relationships" name="Pricing &amp; P&amp;L" sheetId="5" r:id="Rbe346883d57d4971"/>
    <x:sheet xmlns:r="http://schemas.openxmlformats.org/officeDocument/2006/relationships" name="AI Cost" sheetId="6" r:id="R7bdc0f1e537b4183"/>
    <x:sheet xmlns:r="http://schemas.openxmlformats.org/officeDocument/2006/relationships" name="Value" sheetId="7" r:id="Rfee0a26b29d5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#,##0.##;(#,##0.##);&quot;-&quot;"/>
    <x:numFmt numFmtId="165" formatCode="0.0%;(0.0%);&quot;-&quot;"/>
    <x:numFmt numFmtId="166" formatCode="$#,##0.00;($#,##0.00);&quot;-&quot;"/>
    <x:numFmt numFmtId="167" formatCode="#,##0;(#,##0);&quot;-&quot;"/>
    <x:numFmt numFmtId="168" formatCode="#,##0.0,,&quot;M&quot;;(#,##0.0,,&quot;M&quot;);&quot;-&quot;"/>
    <x:numFmt numFmtId="169" formatCode="0.0&quot;x&quot;"/>
    <x:numFmt numFmtId="170" formatCode="0.00&quot;x&quot;"/>
  </x:numFmts>
  <x:fonts count="9">
    <x:font>
      <x:sz val="11"/>
      <x:color theme="1"/>
      <x:name val="Calibri"/>
      <x:family val="2"/>
      <x:scheme val="minor"/>
    </x:font>
    <x:font>
      <x:b/>
      <x:sz val="14"/>
      <x:color rgb="FF000000"/>
      <x:name val="Arial"/>
    </x:font>
    <x:font>
      <x:sz val="9"/>
      <x:color rgb="FF4A5759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4A5759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E6B70"/>
      </x:patternFill>
    </x:fill>
    <x:fill>
      <x:patternFill patternType="solid">
        <x:fgColor rgb="FFE3F1F1"/>
      </x:patternFill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Alignment="1">
      <x:alignment vertical="top"/>
    </x:xf>
    <x:xf numFmtId="0" fontId="2" fillId="0" borderId="0" xfId="0" applyAlignment="1">
      <x:alignment vertical="top"/>
    </x:xf>
    <x:xf numFmtId="0" fontId="5" fillId="0" borderId="0" xfId="0" applyAlignment="1">
      <x:alignment vertical="top" wrapText="1"/>
    </x:xf>
    <x:xf numFmtId="0" fontId="3" fillId="2" borderId="0" xfId="0" applyAlignment="1">
      <x:alignment vertical="center" wrapText="1"/>
    </x:xf>
    <x:xf numFmtId="0" fontId="4" fillId="3" borderId="0" xfId="0" applyAlignment="1">
      <x:alignment vertical="top"/>
    </x:xf>
    <x:xf numFmtId="0" fontId="0" fillId="3" borderId="0" xfId="0"/>
    <x:xf numFmtId="0" fontId="5" fillId="0" borderId="0" xfId="0" applyAlignment="1">
      <x:alignment vertical="top"/>
    </x:xf>
    <x:xf numFmtId="164" fontId="6" fillId="0" borderId="0" xfId="0" applyAlignment="1">
      <x:alignment vertical="top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5" fontId="6" fillId="4" borderId="0" xfId="0" applyAlignment="1">
      <x:alignment vertical="top"/>
    </x:xf>
    <x:xf numFmtId="164" fontId="6" fillId="4" borderId="0" xfId="0" applyAlignment="1">
      <x:alignment vertical="top"/>
    </x:xf>
    <x:xf numFmtId="166" fontId="6" fillId="4" borderId="0" xfId="0" applyAlignment="1">
      <x:alignment vertical="top"/>
    </x:xf>
    <x:xf numFmtId="166" fontId="6" fillId="0" borderId="0" xfId="0" applyAlignment="1">
      <x:alignment vertical="top"/>
    </x:xf>
    <x:xf numFmtId="165" fontId="6" fillId="0" borderId="0" xfId="0" applyAlignment="1">
      <x:alignment vertical="top"/>
    </x:xf>
    <x:xf numFmtId="167" fontId="6" fillId="4" borderId="0" xfId="0" applyAlignment="1">
      <x:alignment vertical="top"/>
    </x:xf>
    <x:xf numFmtId="167" fontId="6" fillId="0" borderId="0" xfId="0" applyAlignment="1">
      <x:alignment vertical="top"/>
    </x:xf>
    <x:xf numFmtId="0" fontId="4" fillId="0" borderId="0" xfId="0" applyAlignment="1">
      <x:alignment vertical="top"/>
    </x:xf>
    <x:xf numFmtId="164" fontId="5" fillId="0" borderId="0" xfId="0" applyAlignment="1">
      <x:alignment vertical="top"/>
    </x:xf>
    <x:xf numFmtId="167" fontId="5" fillId="0" borderId="0" xfId="0" applyAlignment="1">
      <x:alignment vertical="top"/>
    </x:xf>
    <x:xf numFmtId="164" fontId="4" fillId="0" borderId="0" xfId="0" applyAlignment="1">
      <x:alignment vertical="top"/>
    </x:xf>
    <x:xf numFmtId="167" fontId="4" fillId="0" borderId="0" xfId="0" applyAlignment="1">
      <x:alignment vertical="top"/>
    </x:xf>
    <x:xf numFmtId="167" fontId="4" fillId="4" borderId="0" xfId="0" applyAlignment="1">
      <x:alignment vertical="top"/>
    </x:xf>
    <x:xf numFmtId="165" fontId="4" fillId="0" borderId="0" xfId="0" applyAlignment="1">
      <x:alignment vertical="top"/>
    </x:xf>
    <x:xf numFmtId="0" fontId="3" fillId="2" borderId="0" xfId="0"/>
    <x:xf numFmtId="166" fontId="5" fillId="0" borderId="0" xfId="0" applyAlignment="1">
      <x:alignment vertical="top"/>
    </x:xf>
    <x:xf numFmtId="168" fontId="5" fillId="0" borderId="0" xfId="0" applyAlignment="1">
      <x:alignment vertical="top"/>
    </x:xf>
    <x:xf numFmtId="168" fontId="4" fillId="0" borderId="0" xfId="0" applyAlignment="1">
      <x:alignment vertical="top"/>
    </x:xf>
    <x:xf numFmtId="165" fontId="4" fillId="4" borderId="0" xfId="0" applyAlignment="1">
      <x:alignment vertical="top"/>
    </x:xf>
    <x:xf numFmtId="165" fontId="5" fillId="0" borderId="0" xfId="0" applyAlignment="1">
      <x:alignment vertical="top"/>
    </x:xf>
    <x:xf numFmtId="164" fontId="8" fillId="0" borderId="0" xfId="0" applyAlignment="1">
      <x:alignment vertical="top"/>
    </x:xf>
    <x:xf numFmtId="168" fontId="8" fillId="0" borderId="0" xfId="0" applyAlignment="1">
      <x:alignment vertical="top"/>
    </x:xf>
    <x:xf numFmtId="167" fontId="8" fillId="0" borderId="0" xfId="0" applyAlignment="1">
      <x:alignment vertical="top"/>
    </x:xf>
    <x:xf numFmtId="169" fontId="4" fillId="0" borderId="0" xfId="0" applyAlignment="1">
      <x:alignment vertical="top"/>
    </x:xf>
    <x:xf numFmtId="170" fontId="4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7070dbde14864" /><Relationship Type="http://schemas.openxmlformats.org/officeDocument/2006/relationships/theme" Target="/xl/theme/theme1.xml" Id="R96eaf1486ec74598" /><Relationship Type="http://schemas.openxmlformats.org/officeDocument/2006/relationships/sharedStrings" Target="/xl/sharedStrings.xml" Id="R9a469669af5c4853" /><Relationship Type="http://schemas.openxmlformats.org/officeDocument/2006/relationships/worksheet" Target="/xl/worksheets/sheet1.xml" Id="Rdbea3feaff584256" /><Relationship Type="http://schemas.openxmlformats.org/officeDocument/2006/relationships/worksheet" Target="/xl/worksheets/sheet2.xml" Id="Rbef76d4f471c4ef2" /><Relationship Type="http://schemas.openxmlformats.org/officeDocument/2006/relationships/worksheet" Target="/xl/worksheets/sheet3.xml" Id="R6a44c788c4504740" /><Relationship Type="http://schemas.openxmlformats.org/officeDocument/2006/relationships/worksheet" Target="/xl/worksheets/sheet4.xml" Id="R9ca452cb7d834430" /><Relationship Type="http://schemas.openxmlformats.org/officeDocument/2006/relationships/worksheet" Target="/xl/worksheets/sheet5.xml" Id="Rbe346883d57d4971" /><Relationship Type="http://schemas.openxmlformats.org/officeDocument/2006/relationships/worksheet" Target="/xl/worksheets/sheet6.xml" Id="R7bdc0f1e537b4183" /><Relationship Type="http://schemas.openxmlformats.org/officeDocument/2006/relationships/worksheet" Target="/xl/worksheets/sheet7.xml" Id="Rfee0a26b29d540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0" customWidth="1"/>
  </x:cols>
  <x:sheetData>
    <x:row r="1">
      <x:c r="A1" s="1" t="inlineStr">
        <x:is>
          <x:t xml:space="preserve">Learning Suite: cost, pricing and value model</x:t>
        </x:is>
      </x:c>
    </x:row>
    <x:row r="2">
      <x:c r="A2" s="2" t="inlineStr">
        <x:is>
          <x:t xml:space="preserve">Case exercise for IRIS Consulting. Fictional client (Siam Pinnacle Group). Planning-grade estimates, not a quote.</x:t>
        </x:is>
      </x:c>
    </x:row>
    <x:row r="4">
      <x:c r="A4" s="3" t="inlineStr">
        <x:is>
          <x:t xml:space="preserve">Sheets: Assumptions (all inputs) -&gt; Build (12-week team and fee) -&gt; Run (36-month run cost) -&gt; Pricing &amp; P&amp;L (IRIS view and client spend) -&gt; AI Cost (model choice) -&gt; Value (client value case).</x:t>
        </x:is>
      </x:c>
    </x:row>
    <x:row r="5">
      <x:c r="A5" s="3" t="inlineStr">
        <x:is>
          <x:t xml:space="preserve">Colour code: blue = input, black = formula, green = link to another sheet, yellow = key lever.</x:t>
        </x:is>
      </x:c>
    </x:row>
    <x:row r="6">
      <x:c r="A6" s="3" t="inlineStr">
        <x:is>
          <x:t xml:space="preserve">Pricing structure: fixed-fee implementation (milestones 30/30/40) + subscription per enrolled employee per month with a minimum from wave 2 + fixed-fee rollout services per wave + 10% of subscription at risk on adoption KPIs.</x:t>
        </x:is>
      </x:c>
    </x:row>
    <x:row r="7">
      <x:c r="A7" s="3" t="inlineStr">
        <x:is>
          <x:t xml:space="preserve">Model prices: Anthropic list prices (Oct 2026). Running on Vertex AI (Singapore) or Bedrock uses partner pricing; the 30% LLM contingency covers the difference.</x:t>
        </x:is>
      </x:c>
    </x:row>
    <x:row r="8">
      <x:c r="A8" s="3" t="inlineStr">
        <x:is>
          <x:t xml:space="preserve">Change the yellow levers on Assumptions to test scenarios (price, usage, risk premium, coach model).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6" customWidth="1"/>
    <x:col min="2" max="2" width="14" customWidth="1"/>
    <x:col min="3" max="3" width="16" customWidth="1"/>
    <x:col min="4" max="4" width="90" customWidth="1"/>
  </x:cols>
  <x:sheetData>
    <x:row r="1">
      <x:c r="A1" s="1" t="inlineStr">
        <x:is>
          <x:t xml:space="preserve">Assumptions</x:t>
        </x:is>
      </x:c>
    </x:row>
    <x:row r="2">
      <x:c r="A2" s="2" t="inlineStr">
        <x:is>
          <x:t xml:space="preserve">Blue = input (edit these). Yellow = key lever. All THB unless stated. Fictional client; planning assumptions for the case.</x:t>
        </x:is>
      </x:c>
    </x:row>
    <x:row r="4">
      <x:c r="A4" s="4" t="inlineStr">
        <x:is>
          <x:t xml:space="preserve">Item</x:t>
        </x:is>
      </x:c>
      <x:c r="B4" s="4" t="inlineStr">
        <x:is>
          <x:t xml:space="preserve">Value</x:t>
        </x:is>
      </x:c>
      <x:c r="C4" s="4" t="inlineStr">
        <x:is>
          <x:t xml:space="preserve">Unit</x:t>
        </x:is>
      </x:c>
      <x:c r="D4" s="4" t="inlineStr">
        <x:is>
          <x:t xml:space="preserve">Source / note</x:t>
        </x:is>
      </x:c>
    </x:row>
    <x:row r="5">
      <x:c r="A5" s="5" t="inlineStr">
        <x:is>
          <x:t xml:space="preserve">General</x:t>
        </x:is>
      </x:c>
      <x:c r="B5" s="6" t="n"/>
      <x:c r="C5" s="6" t="n"/>
      <x:c r="D5" s="6" t="n"/>
    </x:row>
    <x:row r="6">
      <x:c r="A6" s="7" t="inlineStr">
        <x:is>
          <x:t xml:space="preserve">FX planning rate</x:t>
        </x:is>
      </x:c>
      <x:c r="B6" s="8" t="n">
        <x:v>34</x:v>
      </x:c>
      <x:c r="C6" s="9" t="inlineStr">
        <x:is>
          <x:t xml:space="preserve">THB per USD</x:t>
        </x:is>
      </x:c>
      <x:c r="D6" s="10" t="inlineStr">
        <x:is>
          <x:t xml:space="preserve">Planning rate for the case; replace with treasury rate.</x:t>
        </x:is>
      </x:c>
    </x:row>
    <x:row r="7">
      <x:c r="A7" s="7" t="inlineStr">
        <x:is>
          <x:t xml:space="preserve">Working days per month</x:t>
        </x:is>
      </x:c>
      <x:c r="B7" s="8" t="n">
        <x:v>21</x:v>
      </x:c>
      <x:c r="C7" s="9" t="inlineStr">
        <x:is>
          <x:t xml:space="preserve">days</x:t>
        </x:is>
      </x:c>
      <x:c r="D7" s="10" t="inlineStr">
        <x:is>
          <x:t xml:space="preserve"/>
        </x:is>
      </x:c>
    </x:row>
    <x:row r="8">
      <x:c r="A8" s="7" t="inlineStr">
        <x:is>
          <x:t xml:space="preserve">Build working days (12 weeks)</x:t>
        </x:is>
      </x:c>
      <x:c r="B8" s="8" t="n">
        <x:v>60</x:v>
      </x:c>
      <x:c r="C8" s="9" t="inlineStr">
        <x:is>
          <x:t xml:space="preserve">days</x:t>
        </x:is>
      </x:c>
      <x:c r="D8" s="10" t="inlineStr">
        <x:is>
          <x:t xml:space="preserve">12 weeks x 5 days</x:t>
        </x:is>
      </x:c>
    </x:row>
    <x:row r="9">
      <x:c r="A9" s="7" t="inlineStr">
        <x:is>
          <x:t xml:space="preserve">Current L&amp;D spend per employee</x:t>
        </x:is>
      </x:c>
      <x:c r="B9" s="8" t="n">
        <x:v>3300</x:v>
      </x:c>
      <x:c r="C9" s="9" t="inlineStr">
        <x:is>
          <x:t xml:space="preserve">THB / yr</x:t>
        </x:is>
      </x:c>
      <x:c r="D9" s="10" t="inlineStr">
        <x:is>
          <x:t xml:space="preserve">Thai listed-company disclosures 2024: 3,024-4,038 THB per employee (Supalai, Osotspa, TTW sustainability reports). Midpoint used.</x:t>
        </x:is>
      </x:c>
    </x:row>
    <x:row r="10">
      <x:c r="A10" s="5" t="inlineStr">
        <x:is>
          <x:t xml:space="preserve">Rollout (months from kick-off; build = months 1-3)</x:t>
        </x:is>
      </x:c>
      <x:c r="B10" s="6" t="n"/>
      <x:c r="C10" s="6" t="n"/>
      <x:c r="D10" s="6" t="n"/>
    </x:row>
    <x:row r="11">
      <x:c r="A11" s="7" t="inlineStr">
        <x:is>
          <x:t xml:space="preserve">Wave 1 employees (RD + PK, Thailand)</x:t>
        </x:is>
      </x:c>
      <x:c r="B11" s="8" t="n">
        <x:v>12000</x:v>
      </x:c>
      <x:c r="C11" s="9" t="inlineStr">
        <x:is>
          <x:t xml:space="preserve">people</x:t>
        </x:is>
      </x:c>
      <x:c r="D11" s="10" t="inlineStr">
        <x:is>
          <x:t xml:space="preserve">Brief: first group of 12,000 live within 3 months.</x:t>
        </x:is>
      </x:c>
    </x:row>
    <x:row r="12">
      <x:c r="A12" s="7" t="inlineStr">
        <x:is>
          <x:t xml:space="preserve">Wave 1 go-live month</x:t>
        </x:is>
      </x:c>
      <x:c r="B12" s="8" t="n">
        <x:v>4</x:v>
      </x:c>
      <x:c r="C12" s="9" t="inlineStr">
        <x:is>
          <x:t xml:space="preserve">month</x:t>
        </x:is>
      </x:c>
      <x:c r="D12" s="10" t="inlineStr">
        <x:is>
          <x:t xml:space="preserve">Live at end of week 12; billing from month 4.</x:t>
        </x:is>
      </x:c>
    </x:row>
    <x:row r="13">
      <x:c r="A13" s="7" t="inlineStr">
        <x:is>
          <x:t xml:space="preserve">Wave 2 employees (BM + CS + rest of TH)</x:t>
        </x:is>
      </x:c>
      <x:c r="B13" s="8" t="n">
        <x:v>15000</x:v>
      </x:c>
      <x:c r="C13" s="9" t="inlineStr">
        <x:is>
          <x:t xml:space="preserve">people</x:t>
        </x:is>
      </x:c>
      <x:c r="D13" s="10" t="inlineStr">
        <x:is>
          <x:t xml:space="preserve">Assumption.</x:t>
        </x:is>
      </x:c>
    </x:row>
    <x:row r="14">
      <x:c r="A14" s="7" t="inlineStr">
        <x:is>
          <x:t xml:space="preserve">Wave 2 go-live month</x:t>
        </x:is>
      </x:c>
      <x:c r="B14" s="8" t="n">
        <x:v>7</x:v>
      </x:c>
      <x:c r="C14" s="9" t="inlineStr">
        <x:is>
          <x:t xml:space="preserve">month</x:t>
        </x:is>
      </x:c>
      <x:c r="D14" s="10" t="inlineStr">
        <x:is>
          <x:t xml:space="preserve">Assumption.</x:t>
        </x:is>
      </x:c>
    </x:row>
    <x:row r="15">
      <x:c r="A15" s="7" t="inlineStr">
        <x:is>
          <x:t xml:space="preserve">Wave 3 employees (CH + 3 ASEAN countries)</x:t>
        </x:is>
      </x:c>
      <x:c r="B15" s="8" t="n">
        <x:v>18000</x:v>
      </x:c>
      <x:c r="C15" s="9" t="inlineStr">
        <x:is>
          <x:t xml:space="preserve">people</x:t>
        </x:is>
      </x:c>
      <x:c r="D15" s="10" t="inlineStr">
        <x:is>
          <x:t xml:space="preserve">Brief: rest of company over the next year. Total 45,000.</x:t>
        </x:is>
      </x:c>
    </x:row>
    <x:row r="16">
      <x:c r="A16" s="7" t="inlineStr">
        <x:is>
          <x:t xml:space="preserve">Wave 3 go-live month</x:t>
        </x:is>
      </x:c>
      <x:c r="B16" s="8" t="n">
        <x:v>13</x:v>
      </x:c>
      <x:c r="C16" s="9" t="inlineStr">
        <x:is>
          <x:t xml:space="preserve">month</x:t>
        </x:is>
      </x:c>
      <x:c r="D16" s="10" t="inlineStr">
        <x:is>
          <x:t xml:space="preserve">Assumption: 12 months after wave 1.</x:t>
        </x:is>
      </x:c>
    </x:row>
    <x:row r="17">
      <x:c r="A17" s="5" t="inlineStr">
        <x:is>
          <x:t xml:space="preserve">AI coach usage</x:t>
        </x:is>
      </x:c>
      <x:c r="B17" s="6" t="n"/>
      <x:c r="C17" s="6" t="n"/>
      <x:c r="D17" s="6" t="n"/>
    </x:row>
    <x:row r="18">
      <x:c r="A18" s="7" t="inlineStr">
        <x:is>
          <x:t xml:space="preserve">Coach monthly active share</x:t>
        </x:is>
      </x:c>
      <x:c r="B18" s="11" t="n">
        <x:v>0.45</x:v>
      </x:c>
      <x:c r="C18" s="9" t="inlineStr">
        <x:is>
          <x:t xml:space="preserve">of enrolled</x:t>
        </x:is>
      </x:c>
      <x:c r="D18" s="10" t="inlineStr">
        <x:is>
          <x:t xml:space="preserve">Assumption; frontline on mobile. Track weekly.</x:t>
        </x:is>
      </x:c>
    </x:row>
    <x:row r="19">
      <x:c r="A19" s="7" t="inlineStr">
        <x:is>
          <x:t xml:space="preserve">Coach messages per active user per month</x:t>
        </x:is>
      </x:c>
      <x:c r="B19" s="12" t="n">
        <x:v>12</x:v>
      </x:c>
      <x:c r="C19" s="9" t="inlineStr">
        <x:is>
          <x:t xml:space="preserve">messages</x:t>
        </x:is>
      </x:c>
      <x:c r="D19" s="10" t="inlineStr">
        <x:is>
          <x:t xml:space="preserve">Assumption.</x:t>
        </x:is>
      </x:c>
    </x:row>
    <x:row r="20">
      <x:c r="A20" s="7" t="inlineStr">
        <x:is>
          <x:t xml:space="preserve">Nudges per enrolled employee per month</x:t>
        </x:is>
      </x:c>
      <x:c r="B20" s="8" t="n">
        <x:v>4</x:v>
      </x:c>
      <x:c r="C20" s="9" t="inlineStr">
        <x:is>
          <x:t xml:space="preserve">messages</x:t>
        </x:is>
      </x:c>
      <x:c r="D20" s="10" t="inlineStr">
        <x:is>
          <x:t xml:space="preserve">LINE / in-app; AI-personalised.</x:t>
        </x:is>
      </x:c>
    </x:row>
    <x:row r="21">
      <x:c r="A21" s="7" t="inlineStr">
        <x:is>
          <x:t xml:space="preserve">Path generations per employee per year</x:t>
        </x:is>
      </x:c>
      <x:c r="B21" s="8" t="n">
        <x:v>2</x:v>
      </x:c>
      <x:c r="C21" s="9" t="inlineStr">
        <x:is>
          <x:t xml:space="preserve">runs</x:t>
        </x:is>
      </x:c>
      <x:c r="D21" s="10" t="inlineStr">
        <x:is>
          <x:t xml:space="preserve">Initial + one refresh; overnight Batch API.</x:t>
        </x:is>
      </x:c>
    </x:row>
    <x:row r="22">
      <x:c r="A22" s="7" t="inlineStr">
        <x:is>
          <x:t xml:space="preserve">Coach input tokens per message (uncached)</x:t>
        </x:is>
      </x:c>
      <x:c r="B22" s="8" t="n">
        <x:v>2800</x:v>
      </x:c>
      <x:c r="C22" s="9" t="inlineStr">
        <x:is>
          <x:t xml:space="preserve">tokens</x:t>
        </x:is>
      </x:c>
      <x:c r="D22" s="10" t="inlineStr">
        <x:is>
          <x:t xml:space="preserve">Profile ~500 + sources ~1,500 + history ~800.</x:t>
        </x:is>
      </x:c>
    </x:row>
    <x:row r="23">
      <x:c r="A23" s="7" t="inlineStr">
        <x:is>
          <x:t xml:space="preserve">Coach input tokens per message (cached)</x:t>
        </x:is>
      </x:c>
      <x:c r="B23" s="8" t="n">
        <x:v>1200</x:v>
      </x:c>
      <x:c r="C23" s="9" t="inlineStr">
        <x:is>
          <x:t xml:space="preserve">tokens</x:t>
        </x:is>
      </x:c>
      <x:c r="D23" s="10" t="inlineStr">
        <x:is>
          <x:t xml:space="preserve">System prompt + framework excerpts, prompt-cached.</x:t>
        </x:is>
      </x:c>
    </x:row>
    <x:row r="24">
      <x:c r="A24" s="7" t="inlineStr">
        <x:is>
          <x:t xml:space="preserve">Coach output tokens per message</x:t>
        </x:is>
      </x:c>
      <x:c r="B24" s="8" t="n">
        <x:v>450</x:v>
      </x:c>
      <x:c r="C24" s="9" t="inlineStr">
        <x:is>
          <x:t xml:space="preserve">tokens</x:t>
        </x:is>
      </x:c>
      <x:c r="D24" s="10" t="inlineStr">
        <x:is>
          <x:t xml:space="preserve">~120-word answer + light thinking at low effort.</x:t>
        </x:is>
      </x:c>
    </x:row>
    <x:row r="25">
      <x:c r="A25" s="7" t="inlineStr">
        <x:is>
          <x:t xml:space="preserve">Classifier input tokens per message</x:t>
        </x:is>
      </x:c>
      <x:c r="B25" s="8" t="n">
        <x:v>500</x:v>
      </x:c>
      <x:c r="C25" s="9" t="inlineStr">
        <x:is>
          <x:t xml:space="preserve">tokens</x:t>
        </x:is>
      </x:c>
      <x:c r="D25" s="10" t="inlineStr">
        <x:is>
          <x:t xml:space="preserve"/>
        </x:is>
      </x:c>
    </x:row>
    <x:row r="26">
      <x:c r="A26" s="7" t="inlineStr">
        <x:is>
          <x:t xml:space="preserve">Classifier output tokens per message</x:t>
        </x:is>
      </x:c>
      <x:c r="B26" s="8" t="n">
        <x:v>80</x:v>
      </x:c>
      <x:c r="C26" s="9" t="inlineStr">
        <x:is>
          <x:t xml:space="preserve">tokens</x:t>
        </x:is>
      </x:c>
      <x:c r="D26" s="10" t="inlineStr">
        <x:is>
          <x:t xml:space="preserve"/>
        </x:is>
      </x:c>
    </x:row>
    <x:row r="27">
      <x:c r="A27" s="7" t="inlineStr">
        <x:is>
          <x:t xml:space="preserve">Nudge input tokens</x:t>
        </x:is>
      </x:c>
      <x:c r="B27" s="8" t="n">
        <x:v>600</x:v>
      </x:c>
      <x:c r="C27" s="9" t="inlineStr">
        <x:is>
          <x:t xml:space="preserve">tokens</x:t>
        </x:is>
      </x:c>
      <x:c r="D27" s="10" t="inlineStr">
        <x:is>
          <x:t xml:space="preserve"/>
        </x:is>
      </x:c>
    </x:row>
    <x:row r="28">
      <x:c r="A28" s="7" t="inlineStr">
        <x:is>
          <x:t xml:space="preserve">Nudge output tokens</x:t>
        </x:is>
      </x:c>
      <x:c r="B28" s="8" t="n">
        <x:v>100</x:v>
      </x:c>
      <x:c r="C28" s="9" t="inlineStr">
        <x:is>
          <x:t xml:space="preserve">tokens</x:t>
        </x:is>
      </x:c>
      <x:c r="D28" s="10" t="inlineStr">
        <x:is>
          <x:t xml:space="preserve"/>
        </x:is>
      </x:c>
    </x:row>
    <x:row r="29">
      <x:c r="A29" s="7" t="inlineStr">
        <x:is>
          <x:t xml:space="preserve">Path generation input tokens</x:t>
        </x:is>
      </x:c>
      <x:c r="B29" s="8" t="n">
        <x:v>6000</x:v>
      </x:c>
      <x:c r="C29" s="9" t="inlineStr">
        <x:is>
          <x:t xml:space="preserve">tokens</x:t>
        </x:is>
      </x:c>
      <x:c r="D29" s="10" t="inlineStr">
        <x:is>
          <x:t xml:space="preserve"/>
        </x:is>
      </x:c>
    </x:row>
    <x:row r="30">
      <x:c r="A30" s="7" t="inlineStr">
        <x:is>
          <x:t xml:space="preserve">Path generation output tokens</x:t>
        </x:is>
      </x:c>
      <x:c r="B30" s="8" t="n">
        <x:v>2500</x:v>
      </x:c>
      <x:c r="C30" s="9" t="inlineStr">
        <x:is>
          <x:t xml:space="preserve">tokens</x:t>
        </x:is>
      </x:c>
      <x:c r="D30" s="10" t="inlineStr">
        <x:is>
          <x:t xml:space="preserve"/>
        </x:is>
      </x:c>
    </x:row>
    <x:row r="31">
      <x:c r="A31" s="7" t="inlineStr">
        <x:is>
          <x:t xml:space="preserve">Eval and judge sampling per month</x:t>
        </x:is>
      </x:c>
      <x:c r="B31" s="8" t="n">
        <x:v>150</x:v>
      </x:c>
      <x:c r="C31" s="9" t="inlineStr">
        <x:is>
          <x:t xml:space="preserve">USD / month</x:t>
        </x:is>
      </x:c>
      <x:c r="D31" s="10" t="inlineStr">
        <x:is>
          <x:t xml:space="preserve">Weekly regression eval + sampled live answers.</x:t>
        </x:is>
      </x:c>
    </x:row>
    <x:row r="32">
      <x:c r="A32" s="5" t="inlineStr">
        <x:is>
          <x:t xml:space="preserve">Model prices (Anthropic list, USD per 1M tokens, Oct 2026)</x:t>
        </x:is>
      </x:c>
      <x:c r="B32" s="6" t="n"/>
      <x:c r="C32" s="6" t="n"/>
      <x:c r="D32" s="6" t="n"/>
    </x:row>
    <x:row r="33">
      <x:c r="A33" s="7" t="inlineStr">
        <x:is>
          <x:t xml:space="preserve">Coach model input (Sonnet 5.5)</x:t>
        </x:is>
      </x:c>
      <x:c r="B33" s="13" t="n">
        <x:v>2</x:v>
      </x:c>
      <x:c r="C33" s="9" t="inlineStr">
        <x:is>
          <x:t xml:space="preserve">USD / 1M</x:t>
        </x:is>
      </x:c>
      <x:c r="D33" s="10" t="inlineStr">
        <x:is>
          <x:t xml:space="preserve">Production coach on Sonnet 5.5 if it passes the eval gate; live prototype runs SEA-LION v4 (Workers AI, free).</x:t>
        </x:is>
      </x:c>
    </x:row>
    <x:row r="34">
      <x:c r="A34" s="7" t="inlineStr">
        <x:is>
          <x:t xml:space="preserve">Coach model output (Sonnet 5.5)</x:t>
        </x:is>
      </x:c>
      <x:c r="B34" s="13" t="n">
        <x:v>10</x:v>
      </x:c>
      <x:c r="C34" s="9" t="inlineStr">
        <x:is>
          <x:t xml:space="preserve">USD / 1M</x:t>
        </x:is>
      </x:c>
      <x:c r="D34" s="10" t="inlineStr">
        <x:is>
          <x:t xml:space="preserve"/>
        </x:is>
      </x:c>
    </x:row>
    <x:row r="35">
      <x:c r="A35" s="7" t="inlineStr">
        <x:is>
          <x:t xml:space="preserve">Coach model cache read</x:t>
        </x:is>
      </x:c>
      <x:c r="B35" s="14" t="n">
        <x:v>0.2</x:v>
      </x:c>
      <x:c r="C35" s="9" t="inlineStr">
        <x:is>
          <x:t xml:space="preserve">USD / 1M</x:t>
        </x:is>
      </x:c>
      <x:c r="D35" s="10" t="inlineStr">
        <x:is>
          <x:t xml:space="preserve"/>
        </x:is>
      </x:c>
    </x:row>
    <x:row r="36">
      <x:c r="A36" s="7" t="inlineStr">
        <x:is>
          <x:t xml:space="preserve">Opus 5.5 input (scenario)</x:t>
        </x:is>
      </x:c>
      <x:c r="B36" s="14" t="n">
        <x:v>4</x:v>
      </x:c>
      <x:c r="C36" s="9" t="inlineStr">
        <x:is>
          <x:t xml:space="preserve">USD / 1M</x:t>
        </x:is>
      </x:c>
      <x:c r="D36" s="10" t="inlineStr">
        <x:is>
          <x:t xml:space="preserve">Used for the Opus scenario on the AI Cost sheet.</x:t>
        </x:is>
      </x:c>
    </x:row>
    <x:row r="37">
      <x:c r="A37" s="7" t="inlineStr">
        <x:is>
          <x:t xml:space="preserve">Opus 5.5 output (scenario)</x:t>
        </x:is>
      </x:c>
      <x:c r="B37" s="14" t="n">
        <x:v>20</x:v>
      </x:c>
      <x:c r="C37" s="9" t="inlineStr">
        <x:is>
          <x:t xml:space="preserve">USD / 1M</x:t>
        </x:is>
      </x:c>
      <x:c r="D37" s="10" t="inlineStr">
        <x:is>
          <x:t xml:space="preserve"/>
        </x:is>
      </x:c>
    </x:row>
    <x:row r="38">
      <x:c r="A38" s="7" t="inlineStr">
        <x:is>
          <x:t xml:space="preserve">Haiku 5.5 input (classifier, nudges)</x:t>
        </x:is>
      </x:c>
      <x:c r="B38" s="14" t="n">
        <x:v>0.1</x:v>
      </x:c>
      <x:c r="C38" s="9" t="inlineStr">
        <x:is>
          <x:t xml:space="preserve">USD / 1M</x:t>
        </x:is>
      </x:c>
      <x:c r="D38" s="10" t="inlineStr">
        <x:is>
          <x:t xml:space="preserve"/>
        </x:is>
      </x:c>
    </x:row>
    <x:row r="39">
      <x:c r="A39" s="7" t="inlineStr">
        <x:is>
          <x:t xml:space="preserve">Haiku 5.5 output</x:t>
        </x:is>
      </x:c>
      <x:c r="B39" s="14" t="n">
        <x:v>0.5</x:v>
      </x:c>
      <x:c r="C39" s="9" t="inlineStr">
        <x:is>
          <x:t xml:space="preserve">USD / 1M</x:t>
        </x:is>
      </x:c>
      <x:c r="D39" s="10" t="inlineStr">
        <x:is>
          <x:t xml:space="preserve"/>
        </x:is>
      </x:c>
    </x:row>
    <x:row r="40">
      <x:c r="A40" s="7" t="inlineStr">
        <x:is>
          <x:t xml:space="preserve">Batch API discount</x:t>
        </x:is>
      </x:c>
      <x:c r="B40" s="15" t="n">
        <x:v>0.5</x:v>
      </x:c>
      <x:c r="C40" s="9" t="inlineStr">
        <x:is>
          <x:t xml:space="preserve"/>
        </x:is>
      </x:c>
      <x:c r="D40" s="10" t="inlineStr">
        <x:is>
          <x:t xml:space="preserve">50% off for overnight path generation.</x:t>
        </x:is>
      </x:c>
    </x:row>
    <x:row r="41">
      <x:c r="A41" s="7" t="inlineStr">
        <x:is>
          <x:t xml:space="preserve">LLM contingency</x:t>
        </x:is>
      </x:c>
      <x:c r="B41" s="15" t="n">
        <x:v>0.3</x:v>
      </x:c>
      <x:c r="C41" s="9" t="inlineStr">
        <x:is>
          <x:t xml:space="preserve"/>
        </x:is>
      </x:c>
      <x:c r="D41" s="10" t="inlineStr">
        <x:is>
          <x:t xml:space="preserve">Partner pricing on Vertex/Bedrock differs from list, plus retries and growth.</x:t>
        </x:is>
      </x:c>
    </x:row>
    <x:row r="42">
      <x:c r="A42" s="5" t="inlineStr">
        <x:is>
          <x:t xml:space="preserve">Platform run costs</x:t>
        </x:is>
      </x:c>
      <x:c r="B42" s="6" t="n"/>
      <x:c r="C42" s="6" t="n"/>
      <x:c r="D42" s="6" t="n"/>
    </x:row>
    <x:row r="43">
      <x:c r="A43" s="7" t="inlineStr">
        <x:is>
          <x:t xml:space="preserve">Cloud infrastructure, fixed</x:t>
        </x:is>
      </x:c>
      <x:c r="B43" s="8" t="n">
        <x:v>70000</x:v>
      </x:c>
      <x:c r="C43" s="9" t="inlineStr">
        <x:is>
          <x:t xml:space="preserve">THB / month</x:t>
        </x:is>
      </x:c>
      <x:c r="D43" s="10" t="inlineStr">
        <x:is>
          <x:t xml:space="preserve">Dedicated tenant in a Thailand region: app, Postgres + pgvector, Redis, storage, WAF, logs, non-prod.</x:t>
        </x:is>
      </x:c>
    </x:row>
    <x:row r="44">
      <x:c r="A44" s="7" t="inlineStr">
        <x:is>
          <x:t xml:space="preserve">Cloud infrastructure, variable</x:t>
        </x:is>
      </x:c>
      <x:c r="B44" s="8" t="n">
        <x:v>1.8</x:v>
      </x:c>
      <x:c r="C44" s="9" t="inlineStr">
        <x:is>
          <x:t xml:space="preserve">THB / employee / mo</x:t>
        </x:is>
      </x:c>
      <x:c r="D44" s="10" t="inlineStr">
        <x:is>
          <x:t xml:space="preserve">Assumption.</x:t>
        </x:is>
      </x:c>
    </x:row>
    <x:row r="45">
      <x:c r="A45" s="7" t="inlineStr">
        <x:is>
          <x:t xml:space="preserve">LINE OA Pro plan</x:t>
        </x:is>
      </x:c>
      <x:c r="B45" s="8" t="n">
        <x:v>1780</x:v>
      </x:c>
      <x:c r="C45" s="9" t="inlineStr">
        <x:is>
          <x:t xml:space="preserve">THB / month</x:t>
        </x:is>
      </x:c>
      <x:c r="D45" s="10" t="inlineStr">
        <x:is>
          <x:t xml:space="preserve">LINE for Business TH price list (excl. VAT): 35,000 messages included.</x:t>
        </x:is>
      </x:c>
    </x:row>
    <x:row r="46">
      <x:c r="A46" s="7" t="inlineStr">
        <x:is>
          <x:t xml:space="preserve">LINE messages included</x:t>
        </x:is>
      </x:c>
      <x:c r="B46" s="8" t="n">
        <x:v>35000</x:v>
      </x:c>
      <x:c r="C46" s="9" t="inlineStr">
        <x:is>
          <x:t xml:space="preserve">messages</x:t>
        </x:is>
      </x:c>
      <x:c r="D46" s="10" t="inlineStr">
        <x:is>
          <x:t xml:space="preserve"/>
        </x:is>
      </x:c>
    </x:row>
    <x:row r="47">
      <x:c r="A47" s="7" t="inlineStr">
        <x:is>
          <x:t xml:space="preserve">LINE extra message</x:t>
        </x:is>
      </x:c>
      <x:c r="B47" s="8" t="n">
        <x:v>0.06</x:v>
      </x:c>
      <x:c r="C47" s="9" t="inlineStr">
        <x:is>
          <x:t xml:space="preserve">THB / message</x:t>
        </x:is>
      </x:c>
      <x:c r="D47" s="10" t="inlineStr">
        <x:is>
          <x:t xml:space="preserve">Pro plan extra rate.</x:t>
        </x:is>
      </x:c>
    </x:row>
    <x:row r="48">
      <x:c r="A48" s="7" t="inlineStr">
        <x:is>
          <x:t xml:space="preserve">Frontline share</x:t>
        </x:is>
      </x:c>
      <x:c r="B48" s="15" t="n">
        <x:v>0.6</x:v>
      </x:c>
      <x:c r="C48" s="9" t="inlineStr">
        <x:is>
          <x:t xml:space="preserve"/>
        </x:is>
      </x:c>
      <x:c r="D48" s="10" t="inlineStr">
        <x:is>
          <x:t xml:space="preserve">Brief: ~60% frontline, mostly mobile.</x:t>
        </x:is>
      </x:c>
    </x:row>
    <x:row r="49">
      <x:c r="A49" s="7" t="inlineStr">
        <x:is>
          <x:t xml:space="preserve">Frontline users needing SMS OTP per month</x:t>
        </x:is>
      </x:c>
      <x:c r="B49" s="15" t="n">
        <x:v>0.1</x:v>
      </x:c>
      <x:c r="C49" s="9" t="inlineStr">
        <x:is>
          <x:t xml:space="preserve"/>
        </x:is>
      </x:c>
      <x:c r="D49" s="10" t="inlineStr">
        <x:is>
          <x:t xml:space="preserve">Fallback for staff without corporate SSO; LINE Login is primary.</x:t>
        </x:is>
      </x:c>
    </x:row>
    <x:row r="50">
      <x:c r="A50" s="7" t="inlineStr">
        <x:is>
          <x:t xml:space="preserve">SMS OTP cost</x:t>
        </x:is>
      </x:c>
      <x:c r="B50" s="8" t="n">
        <x:v>0.5</x:v>
      </x:c>
      <x:c r="C50" s="9" t="inlineStr">
        <x:is>
          <x:t xml:space="preserve">THB / SMS</x:t>
        </x:is>
      </x:c>
      <x:c r="D50" s="10" t="inlineStr">
        <x:is>
          <x:t xml:space="preserve">Assumption; confirm with the client's SMS gateway.</x:t>
        </x:is>
      </x:c>
    </x:row>
    <x:row r="51">
      <x:c r="A51" s="7" t="inlineStr">
        <x:is>
          <x:t xml:space="preserve">Tooling (monitoring, LRS, security scanning)</x:t>
        </x:is>
      </x:c>
      <x:c r="B51" s="8" t="n">
        <x:v>30000</x:v>
      </x:c>
      <x:c r="C51" s="9" t="inlineStr">
        <x:is>
          <x:t xml:space="preserve">THB / month</x:t>
        </x:is>
      </x:c>
      <x:c r="D51" s="10" t="inlineStr">
        <x:is>
          <x:t xml:space="preserve"/>
        </x:is>
      </x:c>
    </x:row>
    <x:row r="52">
      <x:c r="A52" s="7" t="inlineStr">
        <x:is>
          <x:t xml:space="preserve">Tooling, variable</x:t>
        </x:is>
      </x:c>
      <x:c r="B52" s="8" t="n">
        <x:v>0.25</x:v>
      </x:c>
      <x:c r="C52" s="9" t="inlineStr">
        <x:is>
          <x:t xml:space="preserve">THB / employee / mo</x:t>
        </x:is>
      </x:c>
      <x:c r="D52" s="10" t="inlineStr">
        <x:is>
          <x:t xml:space="preserve"/>
        </x:is>
      </x:c>
    </x:row>
    <x:row r="53">
      <x:c r="A53" s="7" t="inlineStr">
        <x:is>
          <x:t xml:space="preserve">Annual penetration test</x:t>
        </x:is>
      </x:c>
      <x:c r="B53" s="8" t="n">
        <x:v>400000</x:v>
      </x:c>
      <x:c r="C53" s="9" t="inlineStr">
        <x:is>
          <x:t xml:space="preserve">THB / yr</x:t>
        </x:is>
      </x:c>
      <x:c r="D53" s="10" t="inlineStr">
        <x:is>
          <x:t xml:space="preserve">Also one at go-live (Build sheet).</x:t>
        </x:is>
      </x:c>
    </x:row>
    <x:row r="54">
      <x:c r="A54" s="7" t="inlineStr">
        <x:is>
          <x:t xml:space="preserve">DPIA refresh and compliance audit</x:t>
        </x:is>
      </x:c>
      <x:c r="B54" s="8" t="n">
        <x:v>200000</x:v>
      </x:c>
      <x:c r="C54" s="9" t="inlineStr">
        <x:is>
          <x:t xml:space="preserve">THB / yr</x:t>
        </x:is>
      </x:c>
      <x:c r="D54" s="10" t="inlineStr">
        <x:is>
          <x:t xml:space="preserve">PDPA; PDPC AI guidance expects DPIA for high-risk AI.</x:t>
        </x:is>
      </x:c>
    </x:row>
    <x:row r="55">
      <x:c r="A55" s="5" t="inlineStr">
        <x:is>
          <x:t xml:space="preserve">Run team (client-dedicated + shared platform)</x:t>
        </x:is>
      </x:c>
      <x:c r="B55" s="6" t="n"/>
      <x:c r="C55" s="6" t="n"/>
      <x:c r="D55" s="6" t="n"/>
    </x:row>
    <x:row r="56">
      <x:c r="A56" s="7" t="inlineStr">
        <x:is>
          <x:t xml:space="preserve">Customer success / product owner</x:t>
        </x:is>
      </x:c>
      <x:c r="B56" s="8" t="n">
        <x:v>0.5</x:v>
      </x:c>
      <x:c r="C56" s="9" t="inlineStr">
        <x:is>
          <x:t xml:space="preserve">FTE</x:t>
        </x:is>
      </x:c>
      <x:c r="D56" s="10" t="inlineStr">
        <x:is>
          <x:t xml:space="preserve"/>
        </x:is>
      </x:c>
    </x:row>
    <x:row r="57">
      <x:c r="A57" s="7" t="inlineStr">
        <x:is>
          <x:t xml:space="preserve">Skills &amp; content analysts, base</x:t>
        </x:is>
      </x:c>
      <x:c r="B57" s="8" t="n">
        <x:v>1</x:v>
      </x:c>
      <x:c r="C57" s="9" t="inlineStr">
        <x:is>
          <x:t xml:space="preserve">FTE</x:t>
        </x:is>
      </x:c>
      <x:c r="D57" s="10" t="inlineStr">
        <x:is>
          <x:t xml:space="preserve">Maintain frameworks, tag new content, review flagged answers.</x:t>
        </x:is>
      </x:c>
    </x:row>
    <x:row r="58">
      <x:c r="A58" s="7" t="inlineStr">
        <x:is>
          <x:t xml:space="preserve">Employees per extra analyst</x:t>
        </x:is>
      </x:c>
      <x:c r="B58" s="8" t="n">
        <x:v>30000</x:v>
      </x:c>
      <x:c r="C58" s="9" t="inlineStr">
        <x:is>
          <x:t xml:space="preserve">people</x:t>
        </x:is>
      </x:c>
      <x:c r="D58" s="10" t="inlineStr">
        <x:is>
          <x:t xml:space="preserve"/>
        </x:is>
      </x:c>
    </x:row>
    <x:row r="59">
      <x:c r="A59" s="7" t="inlineStr">
        <x:is>
          <x:t xml:space="preserve">Employees per L2 support analyst</x:t>
        </x:is>
      </x:c>
      <x:c r="B59" s="8" t="n">
        <x:v>25000</x:v>
      </x:c>
      <x:c r="C59" s="9" t="inlineStr">
        <x:is>
          <x:t xml:space="preserve">people</x:t>
        </x:is>
      </x:c>
      <x:c r="D59" s="10" t="inlineStr">
        <x:is>
          <x:t xml:space="preserve">L1 stays with the client's HR helpdesk.</x:t>
        </x:is>
      </x:c>
    </x:row>
    <x:row r="60">
      <x:c r="A60" s="7" t="inlineStr">
        <x:is>
          <x:t xml:space="preserve">Shared platform team allocation up to 20k</x:t>
        </x:is>
      </x:c>
      <x:c r="B60" s="8" t="n">
        <x:v>1.5</x:v>
      </x:c>
      <x:c r="C60" s="9" t="inlineStr">
        <x:is>
          <x:t xml:space="preserve">FTE</x:t>
        </x:is>
      </x:c>
      <x:c r="D60" s="10" t="inlineStr">
        <x:is>
          <x:t xml:space="preserve">Engineering, AI ops, security; shared across IRIS clients.</x:t>
        </x:is>
      </x:c>
    </x:row>
    <x:row r="61">
      <x:c r="A61" s="7" t="inlineStr">
        <x:is>
          <x:t xml:space="preserve">Shared platform team allocation above 20k</x:t>
        </x:is>
      </x:c>
      <x:c r="B61" s="8" t="n">
        <x:v>2</x:v>
      </x:c>
      <x:c r="C61" s="9" t="inlineStr">
        <x:is>
          <x:t xml:space="preserve">FTE</x:t>
        </x:is>
      </x:c>
      <x:c r="D61" s="10" t="inlineStr">
        <x:is>
          <x:t xml:space="preserve"/>
        </x:is>
      </x:c>
    </x:row>
    <x:row r="62">
      <x:c r="A62" s="5" t="inlineStr">
        <x:is>
          <x:t xml:space="preserve">Pricing (levers)</x:t>
        </x:is>
      </x:c>
      <x:c r="B62" s="6" t="n"/>
      <x:c r="C62" s="6" t="n"/>
      <x:c r="D62" s="6" t="n"/>
    </x:row>
    <x:row r="63">
      <x:c r="A63" s="7" t="inlineStr">
        <x:is>
          <x:t xml:space="preserve">Subscription price per enrolled employee per month</x:t>
        </x:is>
      </x:c>
      <x:c r="B63" s="16" t="n">
        <x:v>39</x:v>
      </x:c>
      <x:c r="C63" s="9" t="inlineStr">
        <x:is>
          <x:t xml:space="preserve">THB</x:t>
        </x:is>
      </x:c>
      <x:c r="D63" s="10" t="inlineStr">
        <x:is>
          <x:t xml:space="preserve">Includes platform, hosting, AI coach (fair use), L2 support, framework upkeep.</x:t>
        </x:is>
      </x:c>
    </x:row>
    <x:row r="64">
      <x:c r="A64" s="7" t="inlineStr">
        <x:is>
          <x:t xml:space="preserve">Minimum committed employees from wave 2</x:t>
        </x:is>
      </x:c>
      <x:c r="B64" s="17" t="n">
        <x:v>20000</x:v>
      </x:c>
      <x:c r="C64" s="9" t="inlineStr">
        <x:is>
          <x:t xml:space="preserve">people</x:t>
        </x:is>
      </x:c>
      <x:c r="D64" s="10" t="inlineStr">
        <x:is>
          <x:t xml:space="preserve">Protects unit economics while waves ramp.</x:t>
        </x:is>
      </x:c>
    </x:row>
    <x:row r="65">
      <x:c r="A65" s="7" t="inlineStr">
        <x:is>
          <x:t xml:space="preserve">Fixed-date risk premium on implementation</x:t>
        </x:is>
      </x:c>
      <x:c r="B65" s="11" t="n">
        <x:v>0.1</x:v>
      </x:c>
      <x:c r="C65" s="9" t="inlineStr">
        <x:is>
          <x:t xml:space="preserve"/>
        </x:is>
      </x:c>
      <x:c r="D65" s="10" t="inlineStr">
        <x:is>
          <x:t xml:space="preserve">IRIS carries schedule risk on a fixed fee.</x:t>
        </x:is>
      </x:c>
    </x:row>
    <x:row r="66">
      <x:c r="A66" s="7" t="inlineStr">
        <x:is>
          <x:t xml:space="preserve">Wave 2 rollout services (fixed)</x:t>
        </x:is>
      </x:c>
      <x:c r="B66" s="17" t="n">
        <x:v>6000000</x:v>
      </x:c>
      <x:c r="C66" s="9" t="inlineStr">
        <x:is>
          <x:t xml:space="preserve">THB</x:t>
        </x:is>
      </x:c>
      <x:c r="D66" s="10" t="inlineStr">
        <x:is>
          <x:t xml:space="preserve">Frameworks for new role families, integrations, change.</x:t>
        </x:is>
      </x:c>
    </x:row>
    <x:row r="67">
      <x:c r="A67" s="7" t="inlineStr">
        <x:is>
          <x:t xml:space="preserve">Wave 3 rollout services (fixed, incl. ASEAN localisation)</x:t>
        </x:is>
      </x:c>
      <x:c r="B67" s="17" t="n">
        <x:v>9000000</x:v>
      </x:c>
      <x:c r="C67" s="9" t="inlineStr">
        <x:is>
          <x:t xml:space="preserve">THB</x:t>
        </x:is>
      </x:c>
      <x:c r="D67" s="10" t="inlineStr">
        <x:is>
          <x:t xml:space="preserve">3 languages, local data rules, local content.</x:t>
        </x:is>
      </x:c>
    </x:row>
    <x:row r="68">
      <x:c r="A68" s="7" t="inlineStr">
        <x:is>
          <x:t xml:space="preserve">Wave services delivery cost ratio</x:t>
        </x:is>
      </x:c>
      <x:c r="B68" s="15" t="n">
        <x:v>0.5</x:v>
      </x:c>
      <x:c r="C68" s="9" t="inlineStr">
        <x:is>
          <x:t xml:space="preserve">of fee</x:t>
        </x:is>
      </x:c>
      <x:c r="D68" s="10" t="inlineStr">
        <x:is>
          <x:t xml:space="preserve"/>
        </x:is>
      </x:c>
    </x:row>
    <x:row r="69">
      <x:c r="A69" s="7" t="inlineStr">
        <x:is>
          <x:t xml:space="preserve">Share of subscription at risk on adoption KPIs</x:t>
        </x:is>
      </x:c>
      <x:c r="B69" s="15" t="n">
        <x:v>0.1</x:v>
      </x:c>
      <x:c r="C69" s="9" t="inlineStr">
        <x:is>
          <x:t xml:space="preserve"/>
        </x:is>
      </x:c>
      <x:c r="D69" s="10" t="inlineStr">
        <x:is>
          <x:t xml:space="preserve">Credited back if adoption KPIs are missed. Base case assumes met.</x:t>
        </x:is>
      </x:c>
    </x:row>
    <x:row r="70">
      <x:c r="A70" s="5" t="inlineStr">
        <x:is>
          <x:t xml:space="preserve">Rate card (THB)</x:t>
        </x:is>
      </x:c>
      <x:c r="B70" s="6" t="n"/>
      <x:c r="C70" s="6" t="n"/>
      <x:c r="D70" s="6" t="n"/>
    </x:row>
    <x:row r="71">
      <x:c r="A71" s="18" t="inlineStr">
        <x:is>
          <x:t xml:space="preserve">Role</x:t>
        </x:is>
      </x:c>
      <x:c r="B71" s="18" t="inlineStr">
        <x:is>
          <x:t xml:space="preserve">Cost / month</x:t>
        </x:is>
      </x:c>
      <x:c r="C71" s="18" t="inlineStr">
        <x:is>
          <x:t xml:space="preserve">Bill / day</x:t>
        </x:is>
      </x:c>
      <x:c r="D71" s="18" t="inlineStr">
        <x:is>
          <x:t xml:space="preserve">Note</x:t>
        </x:is>
      </x:c>
    </x:row>
    <x:row r="72">
      <x:c r="A72" s="7" t="inlineStr">
        <x:is>
          <x:t xml:space="preserve">Product &amp; delivery lead</x:t>
        </x:is>
      </x:c>
      <x:c r="B72" s="17" t="n">
        <x:v>260000</x:v>
      </x:c>
      <x:c r="C72" s="17" t="n">
        <x:v>28000</x:v>
      </x:c>
      <x:c r="D72" s="10" t="inlineStr">
        <x:is>
          <x:t xml:space="preserve">Cost = fully loaded monthly cost to IRIS (assumption). Bill rates are about 2x the Thai public-sector consultant reference (PDMO FY2026: developer 3,700-4,960 THB/day, senior consultant 8,410, PM 12,120) and below global-SI rates.</x:t>
        </x:is>
      </x:c>
    </x:row>
    <x:row r="73">
      <x:c r="A73" s="7" t="inlineStr">
        <x:is>
          <x:t xml:space="preserve">Solution architect</x:t>
        </x:is>
      </x:c>
      <x:c r="B73" s="17" t="n">
        <x:v>200000</x:v>
      </x:c>
      <x:c r="C73" s="17" t="n">
        <x:v>22000</x:v>
      </x:c>
    </x:row>
    <x:row r="74">
      <x:c r="A74" s="7" t="inlineStr">
        <x:is>
          <x:t xml:space="preserve">Senior engineer</x:t>
        </x:is>
      </x:c>
      <x:c r="B74" s="17" t="n">
        <x:v>160000</x:v>
      </x:c>
      <x:c r="C74" s="17" t="n">
        <x:v>16000</x:v>
      </x:c>
    </x:row>
    <x:row r="75">
      <x:c r="A75" s="7" t="inlineStr">
        <x:is>
          <x:t xml:space="preserve">Engineer</x:t>
        </x:is>
      </x:c>
      <x:c r="B75" s="17" t="n">
        <x:v>90000</x:v>
      </x:c>
      <x:c r="C75" s="17" t="n">
        <x:v>9500</x:v>
      </x:c>
    </x:row>
    <x:row r="76">
      <x:c r="A76" s="7" t="inlineStr">
        <x:is>
          <x:t xml:space="preserve">AI engineer</x:t>
        </x:is>
      </x:c>
      <x:c r="B76" s="17" t="n">
        <x:v>160000</x:v>
      </x:c>
      <x:c r="C76" s="17" t="n">
        <x:v>16000</x:v>
      </x:c>
    </x:row>
    <x:row r="77">
      <x:c r="A77" s="7" t="inlineStr">
        <x:is>
          <x:t xml:space="preserve">Data &amp; integration engineer</x:t>
        </x:is>
      </x:c>
      <x:c r="B77" s="17" t="n">
        <x:v>150000</x:v>
      </x:c>
      <x:c r="C77" s="17" t="n">
        <x:v>16000</x:v>
      </x:c>
    </x:row>
    <x:row r="78">
      <x:c r="A78" s="7" t="inlineStr">
        <x:is>
          <x:t xml:space="preserve">QA engineer</x:t>
        </x:is>
      </x:c>
      <x:c r="B78" s="17" t="n">
        <x:v>80000</x:v>
      </x:c>
      <x:c r="C78" s="17" t="n">
        <x:v>8500</x:v>
      </x:c>
    </x:row>
    <x:row r="79">
      <x:c r="A79" s="7" t="inlineStr">
        <x:is>
          <x:t xml:space="preserve">UX/UI designer</x:t>
        </x:is>
      </x:c>
      <x:c r="B79" s="17" t="n">
        <x:v>110000</x:v>
      </x:c>
      <x:c r="C79" s="17" t="n">
        <x:v>12000</x:v>
      </x:c>
    </x:row>
    <x:row r="80">
      <x:c r="A80" s="7" t="inlineStr">
        <x:is>
          <x:t xml:space="preserve">DevSecOps engineer</x:t>
        </x:is>
      </x:c>
      <x:c r="B80" s="17" t="n">
        <x:v>160000</x:v>
      </x:c>
      <x:c r="C80" s="17" t="n">
        <x:v>16000</x:v>
      </x:c>
    </x:row>
    <x:row r="81">
      <x:c r="A81" s="7" t="inlineStr">
        <x:is>
          <x:t xml:space="preserve">Skills methodology lead</x:t>
        </x:is>
      </x:c>
      <x:c r="B81" s="17" t="n">
        <x:v>200000</x:v>
      </x:c>
      <x:c r="C81" s="17" t="n">
        <x:v>22000</x:v>
      </x:c>
    </x:row>
    <x:row r="82">
      <x:c r="A82" s="7" t="inlineStr">
        <x:is>
          <x:t xml:space="preserve">Skills consultant</x:t>
        </x:is>
      </x:c>
      <x:c r="B82" s="17" t="n">
        <x:v>140000</x:v>
      </x:c>
      <x:c r="C82" s="17" t="n">
        <x:v>15000</x:v>
      </x:c>
    </x:row>
    <x:row r="83">
      <x:c r="A83" s="7" t="inlineStr">
        <x:is>
          <x:t xml:space="preserve">Content analyst</x:t>
        </x:is>
      </x:c>
      <x:c r="B83" s="17" t="n">
        <x:v>70000</x:v>
      </x:c>
      <x:c r="C83" s="17" t="n">
        <x:v>7000</x:v>
      </x:c>
    </x:row>
    <x:row r="84">
      <x:c r="A84" s="7" t="inlineStr">
        <x:is>
          <x:t xml:space="preserve">Change &amp; adoption consultant</x:t>
        </x:is>
      </x:c>
      <x:c r="B84" s="17" t="n">
        <x:v>140000</x:v>
      </x:c>
      <x:c r="C84" s="17" t="n">
        <x:v>15000</x:v>
      </x:c>
    </x:row>
    <x:row r="85">
      <x:c r="A85" s="7" t="inlineStr">
        <x:is>
          <x:t xml:space="preserve">Support analyst</x:t>
        </x:is>
      </x:c>
      <x:c r="B85" s="17" t="n">
        <x:v>60000</x:v>
      </x:c>
      <x:c r="C85" s="17" t="n">
        <x:v>6000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4" customWidth="1"/>
    <x:col min="2" max="2" width="11" customWidth="1"/>
    <x:col min="3" max="3" width="13" customWidth="1"/>
    <x:col min="4" max="4" width="18" customWidth="1"/>
    <x:col min="5" max="5" width="18" customWidth="1"/>
    <x:col min="6" max="6" width="60" customWidth="1"/>
  </x:cols>
  <x:sheetData>
    <x:row r="1">
      <x:c r="A1" s="1" t="inlineStr">
        <x:is>
          <x:t xml:space="preserve">Build: 12-week implementation</x:t>
        </x:is>
      </x:c>
    </x:row>
    <x:row r="2">
      <x:c r="A2" s="2" t="inlineStr">
        <x:is>
          <x:t xml:space="preserve">IRIS team, cost to IRIS vs price to client. FTE = average over the 12 weeks.</x:t>
        </x:is>
      </x:c>
    </x:row>
    <x:row r="4">
      <x:c r="A4" s="4" t="inlineStr">
        <x:is>
          <x:t xml:space="preserve">Role</x:t>
        </x:is>
      </x:c>
      <x:c r="B4" s="4" t="inlineStr">
        <x:is>
          <x:t xml:space="preserve">FTE (avg)</x:t>
        </x:is>
      </x:c>
      <x:c r="C4" s="4" t="inlineStr">
        <x:is>
          <x:t xml:space="preserve">Person-days</x:t>
        </x:is>
      </x:c>
      <x:c r="D4" s="4" t="inlineStr">
        <x:is>
          <x:t xml:space="preserve">Cost to IRIS (THB)</x:t>
        </x:is>
      </x:c>
      <x:c r="E4" s="4" t="inlineStr">
        <x:is>
          <x:t xml:space="preserve">Price (THB)</x:t>
        </x:is>
      </x:c>
      <x:c r="F4" s="4" t="inlineStr">
        <x:is>
          <x:t xml:space="preserve">Note</x:t>
        </x:is>
      </x:c>
    </x:row>
    <x:row r="5">
      <x:c r="A5" s="7" t="inlineStr">
        <x:is>
          <x:t xml:space="preserve">Product &amp; delivery lead</x:t>
        </x:is>
      </x:c>
      <x:c r="B5" s="8" t="n">
        <x:v>1</x:v>
      </x:c>
      <x:c r="C5" s="19" t="n">
        <x:f>B5*Assumptions!$B$8</x:f>
        <x:v>60</x:v>
      </x:c>
      <x:c r="D5" s="20" t="n">
        <x:f>C5*Assumptions!$B$72/Assumptions!$B$7</x:f>
        <x:v>742857.1428571428</x:v>
      </x:c>
      <x:c r="E5" s="20" t="n">
        <x:f>C5*Assumptions!$C$72</x:f>
        <x:v>1680000</x:v>
      </x:c>
      <x:c r="F5" s="10" t="inlineStr">
        <x:is>
          <x:t xml:space="preserve">Owns product, scope and delivery; runs the product council.</x:t>
        </x:is>
      </x:c>
    </x:row>
    <x:row r="6">
      <x:c r="A6" s="7" t="inlineStr">
        <x:is>
          <x:t xml:space="preserve">Solution architect</x:t>
        </x:is>
      </x:c>
      <x:c r="B6" s="8" t="n">
        <x:v>1</x:v>
      </x:c>
      <x:c r="C6" s="19" t="n">
        <x:f>B6*Assumptions!$B$8</x:f>
        <x:v>60</x:v>
      </x:c>
      <x:c r="D6" s="20" t="n">
        <x:f>C6*Assumptions!$B$73/Assumptions!$B$7</x:f>
        <x:v>571428.5714285715</x:v>
      </x:c>
      <x:c r="E6" s="20" t="n">
        <x:f>C6*Assumptions!$C$73</x:f>
        <x:v>1320000</x:v>
      </x:c>
      <x:c r="F6" s="10" t="inlineStr">
        <x:is>
          <x:t xml:space="preserve">Architecture, security review pack, integration design.</x:t>
        </x:is>
      </x:c>
    </x:row>
    <x:row r="7">
      <x:c r="A7" s="7" t="inlineStr">
        <x:is>
          <x:t xml:space="preserve">Senior engineer</x:t>
        </x:is>
      </x:c>
      <x:c r="B7" s="8" t="n">
        <x:v>2</x:v>
      </x:c>
      <x:c r="C7" s="19" t="n">
        <x:f>B7*Assumptions!$B$8</x:f>
        <x:v>120</x:v>
      </x:c>
      <x:c r="D7" s="20" t="n">
        <x:f>C7*Assumptions!$B$74/Assumptions!$B$7</x:f>
        <x:v>914285.7142857143</x:v>
      </x:c>
      <x:c r="E7" s="20" t="n">
        <x:f>C7*Assumptions!$C$74</x:f>
        <x:v>1920000</x:v>
      </x:c>
      <x:c r="F7" s="10" t="inlineStr">
        <x:is>
          <x:t xml:space="preserve">1 backend + 1 frontend lead.</x:t>
        </x:is>
      </x:c>
    </x:row>
    <x:row r="8">
      <x:c r="A8" s="7" t="inlineStr">
        <x:is>
          <x:t xml:space="preserve">Engineer</x:t>
        </x:is>
      </x:c>
      <x:c r="B8" s="8" t="n">
        <x:v>2</x:v>
      </x:c>
      <x:c r="C8" s="19" t="n">
        <x:f>B8*Assumptions!$B$8</x:f>
        <x:v>120</x:v>
      </x:c>
      <x:c r="D8" s="20" t="n">
        <x:f>C8*Assumptions!$B$75/Assumptions!$B$7</x:f>
        <x:v>514285.71428571426</x:v>
      </x:c>
      <x:c r="E8" s="20" t="n">
        <x:f>C8*Assumptions!$C$75</x:f>
        <x:v>1140000</x:v>
      </x:c>
      <x:c r="F8" s="10" t="inlineStr">
        <x:is>
          <x:t xml:space="preserve">1 backend + 1 frontend (mobile web / LINE LIFF).</x:t>
        </x:is>
      </x:c>
    </x:row>
    <x:row r="9">
      <x:c r="A9" s="7" t="inlineStr">
        <x:is>
          <x:t xml:space="preserve">AI engineer</x:t>
        </x:is>
      </x:c>
      <x:c r="B9" s="8" t="n">
        <x:v>1</x:v>
      </x:c>
      <x:c r="C9" s="19" t="n">
        <x:f>B9*Assumptions!$B$8</x:f>
        <x:v>60</x:v>
      </x:c>
      <x:c r="D9" s="20" t="n">
        <x:f>C9*Assumptions!$B$76/Assumptions!$B$7</x:f>
        <x:v>457142.85714285716</x:v>
      </x:c>
      <x:c r="E9" s="20" t="n">
        <x:f>C9*Assumptions!$C$76</x:f>
        <x:v>960000</x:v>
      </x:c>
      <x:c r="F9" s="10" t="inlineStr">
        <x:is>
          <x:t xml:space="preserve">Coach, path engine, retrieval, eval harness.</x:t>
        </x:is>
      </x:c>
    </x:row>
    <x:row r="10">
      <x:c r="A10" s="7" t="inlineStr">
        <x:is>
          <x:t xml:space="preserve">Data &amp; integration engineer</x:t>
        </x:is>
      </x:c>
      <x:c r="B10" s="8" t="n">
        <x:v>1</x:v>
      </x:c>
      <x:c r="C10" s="19" t="n">
        <x:f>B10*Assumptions!$B$8</x:f>
        <x:v>60</x:v>
      </x:c>
      <x:c r="D10" s="20" t="n">
        <x:f>C10*Assumptions!$B$77/Assumptions!$B$7</x:f>
        <x:v>428571.4285714286</x:v>
      </x:c>
      <x:c r="E10" s="20" t="n">
        <x:f>C10*Assumptions!$C$77</x:f>
        <x:v>960000</x:v>
      </x:c>
      <x:c r="F10" s="10" t="inlineStr">
        <x:is>
          <x:t xml:space="preserve">HRIS, 2 LMS, SSO, data model, dashboards.</x:t>
        </x:is>
      </x:c>
    </x:row>
    <x:row r="11">
      <x:c r="A11" s="7" t="inlineStr">
        <x:is>
          <x:t xml:space="preserve">QA engineer</x:t>
        </x:is>
      </x:c>
      <x:c r="B11" s="8" t="n">
        <x:v>0.8</x:v>
      </x:c>
      <x:c r="C11" s="19" t="n">
        <x:f>B11*Assumptions!$B$8</x:f>
        <x:v>48</x:v>
      </x:c>
      <x:c r="D11" s="20" t="n">
        <x:f>C11*Assumptions!$B$78/Assumptions!$B$7</x:f>
        <x:v>182857.14285714287</x:v>
      </x:c>
      <x:c r="E11" s="20" t="n">
        <x:f>C11*Assumptions!$C$78</x:f>
        <x:v>408000</x:v>
      </x:c>
      <x:c r="F11" s="10" t="inlineStr">
        <x:is>
          <x:t xml:space="preserve">From week 3; test automation and UAT.</x:t>
        </x:is>
      </x:c>
    </x:row>
    <x:row r="12">
      <x:c r="A12" s="7" t="inlineStr">
        <x:is>
          <x:t xml:space="preserve">UX/UI designer</x:t>
        </x:is>
      </x:c>
      <x:c r="B12" s="8" t="n">
        <x:v>0.7</x:v>
      </x:c>
      <x:c r="C12" s="19" t="n">
        <x:f>B12*Assumptions!$B$8</x:f>
        <x:v>42</x:v>
      </x:c>
      <x:c r="D12" s="20" t="n">
        <x:f>C12*Assumptions!$B$79/Assumptions!$B$7</x:f>
        <x:v>220000</x:v>
      </x:c>
      <x:c r="E12" s="20" t="n">
        <x:f>C12*Assumptions!$C$79</x:f>
        <x:v>504000</x:v>
      </x:c>
      <x:c r="F12" s="10" t="inlineStr">
        <x:is>
          <x:t xml:space="preserve">Weeks 1-8; frontline and manager journeys.</x:t>
        </x:is>
      </x:c>
    </x:row>
    <x:row r="13">
      <x:c r="A13" s="7" t="inlineStr">
        <x:is>
          <x:t xml:space="preserve">DevSecOps engineer</x:t>
        </x:is>
      </x:c>
      <x:c r="B13" s="8" t="n">
        <x:v>0.5</x:v>
      </x:c>
      <x:c r="C13" s="19" t="n">
        <x:f>B13*Assumptions!$B$8</x:f>
        <x:v>30</x:v>
      </x:c>
      <x:c r="D13" s="20" t="n">
        <x:f>C13*Assumptions!$B$80/Assumptions!$B$7</x:f>
        <x:v>228571.42857142858</x:v>
      </x:c>
      <x:c r="E13" s="20" t="n">
        <x:f>C13*Assumptions!$C$80</x:f>
        <x:v>480000</x:v>
      </x:c>
      <x:c r="F13" s="10" t="inlineStr">
        <x:is>
          <x:t xml:space="preserve">Environments, CI/CD, security controls, pen-test fixes.</x:t>
        </x:is>
      </x:c>
    </x:row>
    <x:row r="14">
      <x:c r="A14" s="7" t="inlineStr">
        <x:is>
          <x:t xml:space="preserve">Skills methodology lead</x:t>
        </x:is>
      </x:c>
      <x:c r="B14" s="8" t="n">
        <x:v>1</x:v>
      </x:c>
      <x:c r="C14" s="19" t="n">
        <x:f>B14*Assumptions!$B$8</x:f>
        <x:v>60</x:v>
      </x:c>
      <x:c r="D14" s="20" t="n">
        <x:f>C14*Assumptions!$B$81/Assumptions!$B$7</x:f>
        <x:v>571428.5714285715</x:v>
      </x:c>
      <x:c r="E14" s="20" t="n">
        <x:f>C14*Assumptions!$C$81</x:f>
        <x:v>1320000</x:v>
      </x:c>
      <x:c r="F14" s="10" t="inlineStr">
        <x:is>
          <x:t xml:space="preserve">IRIS method: frameworks and assessment design.</x:t>
        </x:is>
      </x:c>
    </x:row>
    <x:row r="15">
      <x:c r="A15" s="7" t="inlineStr">
        <x:is>
          <x:t xml:space="preserve">Skills consultant</x:t>
        </x:is>
      </x:c>
      <x:c r="B15" s="8" t="n">
        <x:v>1.4</x:v>
      </x:c>
      <x:c r="C15" s="19" t="n">
        <x:f>B15*Assumptions!$B$8</x:f>
        <x:v>84</x:v>
      </x:c>
      <x:c r="D15" s="20" t="n">
        <x:f>C15*Assumptions!$B$82/Assumptions!$B$7</x:f>
        <x:v>560000</x:v>
      </x:c>
      <x:c r="E15" s="20" t="n">
        <x:f>C15*Assumptions!$C$82</x:f>
        <x:v>1260000</x:v>
      </x:c>
      <x:c r="F15" s="10" t="inlineStr">
        <x:is>
          <x:t xml:space="preserve">Frameworks for ~18 roles; SME validation (weeks 1-8).</x:t>
        </x:is>
      </x:c>
    </x:row>
    <x:row r="16">
      <x:c r="A16" s="7" t="inlineStr">
        <x:is>
          <x:t xml:space="preserve">Content analyst</x:t>
        </x:is>
      </x:c>
      <x:c r="B16" s="8" t="n">
        <x:v>1</x:v>
      </x:c>
      <x:c r="C16" s="19" t="n">
        <x:f>B16*Assumptions!$B$8</x:f>
        <x:v>60</x:v>
      </x:c>
      <x:c r="D16" s="20" t="n">
        <x:f>C16*Assumptions!$B$83/Assumptions!$B$7</x:f>
        <x:v>200000</x:v>
      </x:c>
      <x:c r="E16" s="20" t="n">
        <x:f>C16*Assumptions!$C$83</x:f>
        <x:v>420000</x:v>
      </x:c>
      <x:c r="F16" s="10" t="inlineStr">
        <x:is>
          <x:t xml:space="preserve">Tag ~2 LMS catalogues to skills (AI-assisted, human-checked).</x:t>
        </x:is>
      </x:c>
    </x:row>
    <x:row r="17">
      <x:c r="A17" s="7" t="inlineStr">
        <x:is>
          <x:t xml:space="preserve">Change &amp; adoption consultant</x:t>
        </x:is>
      </x:c>
      <x:c r="B17" s="8" t="n">
        <x:v>0.8</x:v>
      </x:c>
      <x:c r="C17" s="19" t="n">
        <x:f>B17*Assumptions!$B$8</x:f>
        <x:v>48</x:v>
      </x:c>
      <x:c r="D17" s="20" t="n">
        <x:f>C17*Assumptions!$B$84/Assumptions!$B$7</x:f>
        <x:v>320000</x:v>
      </x:c>
      <x:c r="E17" s="20" t="n">
        <x:f>C17*Assumptions!$C$84</x:f>
        <x:v>720000</x:v>
      </x:c>
      <x:c r="F17" s="10" t="inlineStr">
        <x:is>
          <x:t xml:space="preserve">Weeks 4-12: champions, manager briefings, comms.</x:t>
        </x:is>
      </x:c>
    </x:row>
    <x:row r="18">
      <x:c r="A18" s="18" t="inlineStr">
        <x:is>
          <x:t xml:space="preserve">Team total</x:t>
        </x:is>
      </x:c>
      <x:c r="B18" s="21" t="n">
        <x:f>SUM(B5:B17)</x:f>
        <x:v>14.200000000000001</x:v>
      </x:c>
      <x:c r="C18" s="21" t="n">
        <x:f>SUM(C5:C17)</x:f>
        <x:v>852</x:v>
      </x:c>
      <x:c r="D18" s="22" t="n">
        <x:f>SUM(D5:D17)</x:f>
        <x:v>5911428.571428572</x:v>
      </x:c>
      <x:c r="E18" s="22" t="n">
        <x:f>SUM(E5:E17)</x:f>
        <x:v>13092000</x:v>
      </x:c>
    </x:row>
    <x:row r="20">
      <x:c r="A20" s="5" t="inlineStr">
        <x:is>
          <x:t xml:space="preserve">Third-party and one-off</x:t>
        </x:is>
      </x:c>
    </x:row>
    <x:row r="21">
      <x:c r="A21" s="7" t="inlineStr">
        <x:is>
          <x:t xml:space="preserve">Go-live penetration test</x:t>
        </x:is>
      </x:c>
      <x:c r="D21" s="17" t="n">
        <x:v>400000</x:v>
      </x:c>
      <x:c r="E21" s="20" t="n">
        <x:f>D21</x:f>
        <x:v>400000</x:v>
      </x:c>
    </x:row>
    <x:row r="22">
      <x:c r="A22" s="7" t="inlineStr">
        <x:is>
          <x:t xml:space="preserve">Cloud and environments during build</x:t>
        </x:is>
      </x:c>
      <x:c r="D22" s="17" t="n">
        <x:v>200000</x:v>
      </x:c>
      <x:c r="E22" s="20" t="n">
        <x:f>D22</x:f>
        <x:v>200000</x:v>
      </x:c>
    </x:row>
    <x:row r="23">
      <x:c r="A23" s="7" t="inlineStr">
        <x:is>
          <x:t xml:space="preserve">Content indexing: Thai ASR transcripts, embeddings</x:t>
        </x:is>
      </x:c>
      <x:c r="D23" s="17" t="n">
        <x:v>150000</x:v>
      </x:c>
      <x:c r="E23" s="20" t="n">
        <x:f>D23</x:f>
        <x:v>150000</x:v>
      </x:c>
    </x:row>
    <x:row r="24">
      <x:c r="A24" s="7" t="inlineStr">
        <x:is>
          <x:t xml:space="preserve">LLM usage during build and evals</x:t>
        </x:is>
      </x:c>
      <x:c r="D24" s="17" t="n">
        <x:v>60000</x:v>
      </x:c>
      <x:c r="E24" s="20" t="n">
        <x:f>D24</x:f>
        <x:v>60000</x:v>
      </x:c>
    </x:row>
    <x:row r="25">
      <x:c r="A25" s="18" t="inlineStr">
        <x:is>
          <x:t xml:space="preserve">Third-party total (passed through at cost)</x:t>
        </x:is>
      </x:c>
      <x:c r="D25" s="22" t="n">
        <x:f>SUM(D21:D24)</x:f>
        <x:v>810000</x:v>
      </x:c>
      <x:c r="E25" s="22" t="n">
        <x:f>SUM(E21:E24)</x:f>
        <x:v>810000</x:v>
      </x:c>
    </x:row>
    <x:row r="27">
      <x:c r="A27" s="7" t="inlineStr">
        <x:is>
          <x:t xml:space="preserve">Delivery contingency (10% of team cost)</x:t>
        </x:is>
      </x:c>
      <x:c r="D27" s="20" t="n">
        <x:f>0.1*D18</x:f>
        <x:v>591142.8571428572</x:v>
      </x:c>
    </x:row>
    <x:row r="28">
      <x:c r="A28" s="18" t="inlineStr">
        <x:is>
          <x:t xml:space="preserve">Total cost to IRIS</x:t>
        </x:is>
      </x:c>
      <x:c r="D28" s="22" t="n">
        <x:f>D18+D25+D27</x:f>
        <x:v>7312571.428571429</x:v>
      </x:c>
    </x:row>
    <x:row r="29">
      <x:c r="A29" s="7" t="inlineStr">
        <x:is>
          <x:t xml:space="preserve">Price before risk premium</x:t>
        </x:is>
      </x:c>
      <x:c r="E29" s="20" t="n">
        <x:f>E18+E25</x:f>
        <x:v>13902000</x:v>
      </x:c>
    </x:row>
    <x:row r="30">
      <x:c r="A30" s="7" t="inlineStr">
        <x:is>
          <x:t xml:space="preserve">Fixed-date risk premium</x:t>
        </x:is>
      </x:c>
      <x:c r="E30" s="20" t="n">
        <x:f>E29*Assumptions!$B$65</x:f>
        <x:v>1390200</x:v>
      </x:c>
    </x:row>
    <x:row r="31">
      <x:c r="A31" s="18" t="inlineStr">
        <x:is>
          <x:t xml:space="preserve">Implementation fee (rounded to 0.5M)</x:t>
        </x:is>
      </x:c>
      <x:c r="E31" s="23" t="n">
        <x:f>ROUND((E29+E30)/500000,0)*500000</x:f>
        <x:v>15500000</x:v>
      </x:c>
    </x:row>
    <x:row r="32">
      <x:c r="A32" s="18" t="inlineStr">
        <x:is>
          <x:t xml:space="preserve">Gross margin on implementation</x:t>
        </x:is>
      </x:c>
      <x:c r="E32" s="24" t="n">
        <x:f>(E31-D28)/E31</x:f>
        <x:v>0.528221198156682</x:v>
      </x:c>
    </x:row>
    <x:row r="34">
      <x:c r="A34" s="9" t="inlineStr">
        <x:is>
          <x:t xml:space="preserve">Milestones: 30% at kick-off, 30% at week 6 (integrated demo), 40% at go-live acceptance.</x:t>
        </x:is>
      </x:c>
    </x:row>
    <x:row r="35">
      <x:c r="A35" s="9" t="inlineStr">
        <x:is>
          <x:t xml:space="preserve">Client-side roles (not priced): HRIS owner, 2 LMS admins, IT security, DPO, 2 SMEs per BU, comms lead, ~60 champions.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baseColWidth="8" defaultRowHeight="15"/>
  <x:cols>
    <x:col min="1" max="1" width="44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</x:cols>
  <x:sheetData>
    <x:row r="1">
      <x:c r="A1" s="1" t="inlineStr">
        <x:is>
          <x:t xml:space="preserve">Run cost by month (months from kick-off)</x:t>
        </x:is>
      </x:c>
    </x:row>
    <x:row r="2">
      <x:c r="A2" s="2" t="inlineStr">
        <x:is>
          <x:t xml:space="preserve">Months 1-3 are the build (covered on the Build sheet). THB unless stated.</x:t>
        </x:is>
      </x:c>
    </x:row>
    <x:row r="4">
      <x:c r="A4" s="25" t="inlineStr">
        <x:is>
          <x:t xml:space="preserve">Line</x:t>
        </x:is>
      </x:c>
      <x:c r="B4" s="25" t="n">
        <x:v>1</x:v>
      </x:c>
      <x:c r="C4" s="25" t="n">
        <x:v>2</x:v>
      </x:c>
      <x:c r="D4" s="25" t="n">
        <x:v>3</x:v>
      </x:c>
      <x:c r="E4" s="25" t="n">
        <x:v>4</x:v>
      </x:c>
      <x:c r="F4" s="25" t="n">
        <x:v>5</x:v>
      </x:c>
      <x:c r="G4" s="25" t="n">
        <x:v>6</x:v>
      </x:c>
      <x:c r="H4" s="25" t="n">
        <x:v>7</x:v>
      </x:c>
      <x:c r="I4" s="25" t="n">
        <x:v>8</x:v>
      </x:c>
      <x:c r="J4" s="25" t="n">
        <x:v>9</x:v>
      </x:c>
      <x:c r="K4" s="25" t="n">
        <x:v>10</x:v>
      </x:c>
      <x:c r="L4" s="25" t="n">
        <x:v>11</x:v>
      </x:c>
      <x:c r="M4" s="25" t="n">
        <x:v>12</x:v>
      </x:c>
      <x:c r="N4" s="25" t="n">
        <x:v>13</x:v>
      </x:c>
      <x:c r="O4" s="25" t="n">
        <x:v>14</x:v>
      </x:c>
      <x:c r="P4" s="25" t="n">
        <x:v>15</x:v>
      </x:c>
      <x:c r="Q4" s="25" t="n">
        <x:v>16</x:v>
      </x:c>
      <x:c r="R4" s="25" t="n">
        <x:v>17</x:v>
      </x:c>
      <x:c r="S4" s="25" t="n">
        <x:v>18</x:v>
      </x:c>
      <x:c r="T4" s="25" t="n">
        <x:v>19</x:v>
      </x:c>
      <x:c r="U4" s="25" t="n">
        <x:v>20</x:v>
      </x:c>
      <x:c r="V4" s="25" t="n">
        <x:v>21</x:v>
      </x:c>
      <x:c r="W4" s="25" t="n">
        <x:v>22</x:v>
      </x:c>
      <x:c r="X4" s="25" t="n">
        <x:v>23</x:v>
      </x:c>
      <x:c r="Y4" s="25" t="n">
        <x:v>24</x:v>
      </x:c>
      <x:c r="Z4" s="25" t="n">
        <x:v>25</x:v>
      </x:c>
      <x:c r="AA4" s="25" t="n">
        <x:v>26</x:v>
      </x:c>
      <x:c r="AB4" s="25" t="n">
        <x:v>27</x:v>
      </x:c>
      <x:c r="AC4" s="25" t="n">
        <x:v>28</x:v>
      </x:c>
      <x:c r="AD4" s="25" t="n">
        <x:v>29</x:v>
      </x:c>
      <x:c r="AE4" s="25" t="n">
        <x:v>30</x:v>
      </x:c>
      <x:c r="AF4" s="25" t="n">
        <x:v>31</x:v>
      </x:c>
      <x:c r="AG4" s="25" t="n">
        <x:v>32</x:v>
      </x:c>
      <x:c r="AH4" s="25" t="n">
        <x:v>33</x:v>
      </x:c>
      <x:c r="AI4" s="25" t="n">
        <x:v>34</x:v>
      </x:c>
      <x:c r="AJ4" s="25" t="n">
        <x:v>35</x:v>
      </x:c>
      <x:c r="AK4" s="25" t="n">
        <x:v>36</x:v>
      </x:c>
    </x:row>
    <x:row r="5">
      <x:c r="A5" s="7" t="inlineStr">
        <x:is>
          <x:t xml:space="preserve">Enrolled employees</x:t>
        </x:is>
      </x:c>
      <x:c r="B5" s="20" t="n">
        <x:f>IF(B$4&gt;=Assumptions!$B$16,Assumptions!$B$11+Assumptions!$B$13+Assumptions!$B$15,IF(B$4&gt;=Assumptions!$B$14,Assumptions!$B$11+Assumptions!$B$13,IF(B$4&gt;=Assumptions!$B$12,Assumptions!$B$11,0)))</x:f>
        <x:v>0</x:v>
      </x:c>
      <x:c r="C5" s="20" t="n">
        <x:f>IF(C$4&gt;=Assumptions!$B$16,Assumptions!$B$11+Assumptions!$B$13+Assumptions!$B$15,IF(C$4&gt;=Assumptions!$B$14,Assumptions!$B$11+Assumptions!$B$13,IF(C$4&gt;=Assumptions!$B$12,Assumptions!$B$11,0)))</x:f>
        <x:v>0</x:v>
      </x:c>
      <x:c r="D5" s="20" t="n">
        <x:f>IF(D$4&gt;=Assumptions!$B$16,Assumptions!$B$11+Assumptions!$B$13+Assumptions!$B$15,IF(D$4&gt;=Assumptions!$B$14,Assumptions!$B$11+Assumptions!$B$13,IF(D$4&gt;=Assumptions!$B$12,Assumptions!$B$11,0)))</x:f>
        <x:v>0</x:v>
      </x:c>
      <x:c r="E5" s="20" t="n">
        <x:f>IF(E$4&gt;=Assumptions!$B$16,Assumptions!$B$11+Assumptions!$B$13+Assumptions!$B$15,IF(E$4&gt;=Assumptions!$B$14,Assumptions!$B$11+Assumptions!$B$13,IF(E$4&gt;=Assumptions!$B$12,Assumptions!$B$11,0)))</x:f>
        <x:v>12000</x:v>
      </x:c>
      <x:c r="F5" s="20" t="n">
        <x:f>IF(F$4&gt;=Assumptions!$B$16,Assumptions!$B$11+Assumptions!$B$13+Assumptions!$B$15,IF(F$4&gt;=Assumptions!$B$14,Assumptions!$B$11+Assumptions!$B$13,IF(F$4&gt;=Assumptions!$B$12,Assumptions!$B$11,0)))</x:f>
        <x:v>12000</x:v>
      </x:c>
      <x:c r="G5" s="20" t="n">
        <x:f>IF(G$4&gt;=Assumptions!$B$16,Assumptions!$B$11+Assumptions!$B$13+Assumptions!$B$15,IF(G$4&gt;=Assumptions!$B$14,Assumptions!$B$11+Assumptions!$B$13,IF(G$4&gt;=Assumptions!$B$12,Assumptions!$B$11,0)))</x:f>
        <x:v>12000</x:v>
      </x:c>
      <x:c r="H5" s="20" t="n">
        <x:f>IF(H$4&gt;=Assumptions!$B$16,Assumptions!$B$11+Assumptions!$B$13+Assumptions!$B$15,IF(H$4&gt;=Assumptions!$B$14,Assumptions!$B$11+Assumptions!$B$13,IF(H$4&gt;=Assumptions!$B$12,Assumptions!$B$11,0)))</x:f>
        <x:v>27000</x:v>
      </x:c>
      <x:c r="I5" s="20" t="n">
        <x:f>IF(I$4&gt;=Assumptions!$B$16,Assumptions!$B$11+Assumptions!$B$13+Assumptions!$B$15,IF(I$4&gt;=Assumptions!$B$14,Assumptions!$B$11+Assumptions!$B$13,IF(I$4&gt;=Assumptions!$B$12,Assumptions!$B$11,0)))</x:f>
        <x:v>27000</x:v>
      </x:c>
      <x:c r="J5" s="20" t="n">
        <x:f>IF(J$4&gt;=Assumptions!$B$16,Assumptions!$B$11+Assumptions!$B$13+Assumptions!$B$15,IF(J$4&gt;=Assumptions!$B$14,Assumptions!$B$11+Assumptions!$B$13,IF(J$4&gt;=Assumptions!$B$12,Assumptions!$B$11,0)))</x:f>
        <x:v>27000</x:v>
      </x:c>
      <x:c r="K5" s="20" t="n">
        <x:f>IF(K$4&gt;=Assumptions!$B$16,Assumptions!$B$11+Assumptions!$B$13+Assumptions!$B$15,IF(K$4&gt;=Assumptions!$B$14,Assumptions!$B$11+Assumptions!$B$13,IF(K$4&gt;=Assumptions!$B$12,Assumptions!$B$11,0)))</x:f>
        <x:v>27000</x:v>
      </x:c>
      <x:c r="L5" s="20" t="n">
        <x:f>IF(L$4&gt;=Assumptions!$B$16,Assumptions!$B$11+Assumptions!$B$13+Assumptions!$B$15,IF(L$4&gt;=Assumptions!$B$14,Assumptions!$B$11+Assumptions!$B$13,IF(L$4&gt;=Assumptions!$B$12,Assumptions!$B$11,0)))</x:f>
        <x:v>27000</x:v>
      </x:c>
      <x:c r="M5" s="20" t="n">
        <x:f>IF(M$4&gt;=Assumptions!$B$16,Assumptions!$B$11+Assumptions!$B$13+Assumptions!$B$15,IF(M$4&gt;=Assumptions!$B$14,Assumptions!$B$11+Assumptions!$B$13,IF(M$4&gt;=Assumptions!$B$12,Assumptions!$B$11,0)))</x:f>
        <x:v>27000</x:v>
      </x:c>
      <x:c r="N5" s="20" t="n">
        <x:f>IF(N$4&gt;=Assumptions!$B$16,Assumptions!$B$11+Assumptions!$B$13+Assumptions!$B$15,IF(N$4&gt;=Assumptions!$B$14,Assumptions!$B$11+Assumptions!$B$13,IF(N$4&gt;=Assumptions!$B$12,Assumptions!$B$11,0)))</x:f>
        <x:v>45000</x:v>
      </x:c>
      <x:c r="O5" s="20" t="n">
        <x:f>IF(O$4&gt;=Assumptions!$B$16,Assumptions!$B$11+Assumptions!$B$13+Assumptions!$B$15,IF(O$4&gt;=Assumptions!$B$14,Assumptions!$B$11+Assumptions!$B$13,IF(O$4&gt;=Assumptions!$B$12,Assumptions!$B$11,0)))</x:f>
        <x:v>45000</x:v>
      </x:c>
      <x:c r="P5" s="20" t="n">
        <x:f>IF(P$4&gt;=Assumptions!$B$16,Assumptions!$B$11+Assumptions!$B$13+Assumptions!$B$15,IF(P$4&gt;=Assumptions!$B$14,Assumptions!$B$11+Assumptions!$B$13,IF(P$4&gt;=Assumptions!$B$12,Assumptions!$B$11,0)))</x:f>
        <x:v>45000</x:v>
      </x:c>
      <x:c r="Q5" s="20" t="n">
        <x:f>IF(Q$4&gt;=Assumptions!$B$16,Assumptions!$B$11+Assumptions!$B$13+Assumptions!$B$15,IF(Q$4&gt;=Assumptions!$B$14,Assumptions!$B$11+Assumptions!$B$13,IF(Q$4&gt;=Assumptions!$B$12,Assumptions!$B$11,0)))</x:f>
        <x:v>45000</x:v>
      </x:c>
      <x:c r="R5" s="20" t="n">
        <x:f>IF(R$4&gt;=Assumptions!$B$16,Assumptions!$B$11+Assumptions!$B$13+Assumptions!$B$15,IF(R$4&gt;=Assumptions!$B$14,Assumptions!$B$11+Assumptions!$B$13,IF(R$4&gt;=Assumptions!$B$12,Assumptions!$B$11,0)))</x:f>
        <x:v>45000</x:v>
      </x:c>
      <x:c r="S5" s="20" t="n">
        <x:f>IF(S$4&gt;=Assumptions!$B$16,Assumptions!$B$11+Assumptions!$B$13+Assumptions!$B$15,IF(S$4&gt;=Assumptions!$B$14,Assumptions!$B$11+Assumptions!$B$13,IF(S$4&gt;=Assumptions!$B$12,Assumptions!$B$11,0)))</x:f>
        <x:v>45000</x:v>
      </x:c>
      <x:c r="T5" s="20" t="n">
        <x:f>IF(T$4&gt;=Assumptions!$B$16,Assumptions!$B$11+Assumptions!$B$13+Assumptions!$B$15,IF(T$4&gt;=Assumptions!$B$14,Assumptions!$B$11+Assumptions!$B$13,IF(T$4&gt;=Assumptions!$B$12,Assumptions!$B$11,0)))</x:f>
        <x:v>45000</x:v>
      </x:c>
      <x:c r="U5" s="20" t="n">
        <x:f>IF(U$4&gt;=Assumptions!$B$16,Assumptions!$B$11+Assumptions!$B$13+Assumptions!$B$15,IF(U$4&gt;=Assumptions!$B$14,Assumptions!$B$11+Assumptions!$B$13,IF(U$4&gt;=Assumptions!$B$12,Assumptions!$B$11,0)))</x:f>
        <x:v>45000</x:v>
      </x:c>
      <x:c r="V5" s="20" t="n">
        <x:f>IF(V$4&gt;=Assumptions!$B$16,Assumptions!$B$11+Assumptions!$B$13+Assumptions!$B$15,IF(V$4&gt;=Assumptions!$B$14,Assumptions!$B$11+Assumptions!$B$13,IF(V$4&gt;=Assumptions!$B$12,Assumptions!$B$11,0)))</x:f>
        <x:v>45000</x:v>
      </x:c>
      <x:c r="W5" s="20" t="n">
        <x:f>IF(W$4&gt;=Assumptions!$B$16,Assumptions!$B$11+Assumptions!$B$13+Assumptions!$B$15,IF(W$4&gt;=Assumptions!$B$14,Assumptions!$B$11+Assumptions!$B$13,IF(W$4&gt;=Assumptions!$B$12,Assumptions!$B$11,0)))</x:f>
        <x:v>45000</x:v>
      </x:c>
      <x:c r="X5" s="20" t="n">
        <x:f>IF(X$4&gt;=Assumptions!$B$16,Assumptions!$B$11+Assumptions!$B$13+Assumptions!$B$15,IF(X$4&gt;=Assumptions!$B$14,Assumptions!$B$11+Assumptions!$B$13,IF(X$4&gt;=Assumptions!$B$12,Assumptions!$B$11,0)))</x:f>
        <x:v>45000</x:v>
      </x:c>
      <x:c r="Y5" s="20" t="n">
        <x:f>IF(Y$4&gt;=Assumptions!$B$16,Assumptions!$B$11+Assumptions!$B$13+Assumptions!$B$15,IF(Y$4&gt;=Assumptions!$B$14,Assumptions!$B$11+Assumptions!$B$13,IF(Y$4&gt;=Assumptions!$B$12,Assumptions!$B$11,0)))</x:f>
        <x:v>45000</x:v>
      </x:c>
      <x:c r="Z5" s="20" t="n">
        <x:f>IF(Z$4&gt;=Assumptions!$B$16,Assumptions!$B$11+Assumptions!$B$13+Assumptions!$B$15,IF(Z$4&gt;=Assumptions!$B$14,Assumptions!$B$11+Assumptions!$B$13,IF(Z$4&gt;=Assumptions!$B$12,Assumptions!$B$11,0)))</x:f>
        <x:v>45000</x:v>
      </x:c>
      <x:c r="AA5" s="20" t="n">
        <x:f>IF(AA$4&gt;=Assumptions!$B$16,Assumptions!$B$11+Assumptions!$B$13+Assumptions!$B$15,IF(AA$4&gt;=Assumptions!$B$14,Assumptions!$B$11+Assumptions!$B$13,IF(AA$4&gt;=Assumptions!$B$12,Assumptions!$B$11,0)))</x:f>
        <x:v>45000</x:v>
      </x:c>
      <x:c r="AB5" s="20" t="n">
        <x:f>IF(AB$4&gt;=Assumptions!$B$16,Assumptions!$B$11+Assumptions!$B$13+Assumptions!$B$15,IF(AB$4&gt;=Assumptions!$B$14,Assumptions!$B$11+Assumptions!$B$13,IF(AB$4&gt;=Assumptions!$B$12,Assumptions!$B$11,0)))</x:f>
        <x:v>45000</x:v>
      </x:c>
      <x:c r="AC5" s="20" t="n">
        <x:f>IF(AC$4&gt;=Assumptions!$B$16,Assumptions!$B$11+Assumptions!$B$13+Assumptions!$B$15,IF(AC$4&gt;=Assumptions!$B$14,Assumptions!$B$11+Assumptions!$B$13,IF(AC$4&gt;=Assumptions!$B$12,Assumptions!$B$11,0)))</x:f>
        <x:v>45000</x:v>
      </x:c>
      <x:c r="AD5" s="20" t="n">
        <x:f>IF(AD$4&gt;=Assumptions!$B$16,Assumptions!$B$11+Assumptions!$B$13+Assumptions!$B$15,IF(AD$4&gt;=Assumptions!$B$14,Assumptions!$B$11+Assumptions!$B$13,IF(AD$4&gt;=Assumptions!$B$12,Assumptions!$B$11,0)))</x:f>
        <x:v>45000</x:v>
      </x:c>
      <x:c r="AE5" s="20" t="n">
        <x:f>IF(AE$4&gt;=Assumptions!$B$16,Assumptions!$B$11+Assumptions!$B$13+Assumptions!$B$15,IF(AE$4&gt;=Assumptions!$B$14,Assumptions!$B$11+Assumptions!$B$13,IF(AE$4&gt;=Assumptions!$B$12,Assumptions!$B$11,0)))</x:f>
        <x:v>45000</x:v>
      </x:c>
      <x:c r="AF5" s="20" t="n">
        <x:f>IF(AF$4&gt;=Assumptions!$B$16,Assumptions!$B$11+Assumptions!$B$13+Assumptions!$B$15,IF(AF$4&gt;=Assumptions!$B$14,Assumptions!$B$11+Assumptions!$B$13,IF(AF$4&gt;=Assumptions!$B$12,Assumptions!$B$11,0)))</x:f>
        <x:v>45000</x:v>
      </x:c>
      <x:c r="AG5" s="20" t="n">
        <x:f>IF(AG$4&gt;=Assumptions!$B$16,Assumptions!$B$11+Assumptions!$B$13+Assumptions!$B$15,IF(AG$4&gt;=Assumptions!$B$14,Assumptions!$B$11+Assumptions!$B$13,IF(AG$4&gt;=Assumptions!$B$12,Assumptions!$B$11,0)))</x:f>
        <x:v>45000</x:v>
      </x:c>
      <x:c r="AH5" s="20" t="n">
        <x:f>IF(AH$4&gt;=Assumptions!$B$16,Assumptions!$B$11+Assumptions!$B$13+Assumptions!$B$15,IF(AH$4&gt;=Assumptions!$B$14,Assumptions!$B$11+Assumptions!$B$13,IF(AH$4&gt;=Assumptions!$B$12,Assumptions!$B$11,0)))</x:f>
        <x:v>45000</x:v>
      </x:c>
      <x:c r="AI5" s="20" t="n">
        <x:f>IF(AI$4&gt;=Assumptions!$B$16,Assumptions!$B$11+Assumptions!$B$13+Assumptions!$B$15,IF(AI$4&gt;=Assumptions!$B$14,Assumptions!$B$11+Assumptions!$B$13,IF(AI$4&gt;=Assumptions!$B$12,Assumptions!$B$11,0)))</x:f>
        <x:v>45000</x:v>
      </x:c>
      <x:c r="AJ5" s="20" t="n">
        <x:f>IF(AJ$4&gt;=Assumptions!$B$16,Assumptions!$B$11+Assumptions!$B$13+Assumptions!$B$15,IF(AJ$4&gt;=Assumptions!$B$14,Assumptions!$B$11+Assumptions!$B$13,IF(AJ$4&gt;=Assumptions!$B$12,Assumptions!$B$11,0)))</x:f>
        <x:v>45000</x:v>
      </x:c>
      <x:c r="AK5" s="20" t="n">
        <x:f>IF(AK$4&gt;=Assumptions!$B$16,Assumptions!$B$11+Assumptions!$B$13+Assumptions!$B$15,IF(AK$4&gt;=Assumptions!$B$14,Assumptions!$B$11+Assumptions!$B$13,IF(AK$4&gt;=Assumptions!$B$12,Assumptions!$B$11,0)))</x:f>
        <x:v>45000</x:v>
      </x:c>
    </x:row>
    <x:row r="6">
      <x:c r="A6" s="7" t="inlineStr">
        <x:is>
          <x:t xml:space="preserve">Coach monthly active users</x:t>
        </x:is>
      </x:c>
      <x:c r="B6" s="20" t="n">
        <x:f>B5*Assumptions!$B$18</x:f>
        <x:v>0</x:v>
      </x:c>
      <x:c r="C6" s="20" t="n">
        <x:f>C5*Assumptions!$B$18</x:f>
        <x:v>0</x:v>
      </x:c>
      <x:c r="D6" s="20" t="n">
        <x:f>D5*Assumptions!$B$18</x:f>
        <x:v>0</x:v>
      </x:c>
      <x:c r="E6" s="20" t="n">
        <x:f>E5*Assumptions!$B$18</x:f>
        <x:v>5400</x:v>
      </x:c>
      <x:c r="F6" s="20" t="n">
        <x:f>F5*Assumptions!$B$18</x:f>
        <x:v>5400</x:v>
      </x:c>
      <x:c r="G6" s="20" t="n">
        <x:f>G5*Assumptions!$B$18</x:f>
        <x:v>5400</x:v>
      </x:c>
      <x:c r="H6" s="20" t="n">
        <x:f>H5*Assumptions!$B$18</x:f>
        <x:v>12150</x:v>
      </x:c>
      <x:c r="I6" s="20" t="n">
        <x:f>I5*Assumptions!$B$18</x:f>
        <x:v>12150</x:v>
      </x:c>
      <x:c r="J6" s="20" t="n">
        <x:f>J5*Assumptions!$B$18</x:f>
        <x:v>12150</x:v>
      </x:c>
      <x:c r="K6" s="20" t="n">
        <x:f>K5*Assumptions!$B$18</x:f>
        <x:v>12150</x:v>
      </x:c>
      <x:c r="L6" s="20" t="n">
        <x:f>L5*Assumptions!$B$18</x:f>
        <x:v>12150</x:v>
      </x:c>
      <x:c r="M6" s="20" t="n">
        <x:f>M5*Assumptions!$B$18</x:f>
        <x:v>12150</x:v>
      </x:c>
      <x:c r="N6" s="20" t="n">
        <x:f>N5*Assumptions!$B$18</x:f>
        <x:v>20250</x:v>
      </x:c>
      <x:c r="O6" s="20" t="n">
        <x:f>O5*Assumptions!$B$18</x:f>
        <x:v>20250</x:v>
      </x:c>
      <x:c r="P6" s="20" t="n">
        <x:f>P5*Assumptions!$B$18</x:f>
        <x:v>20250</x:v>
      </x:c>
      <x:c r="Q6" s="20" t="n">
        <x:f>Q5*Assumptions!$B$18</x:f>
        <x:v>20250</x:v>
      </x:c>
      <x:c r="R6" s="20" t="n">
        <x:f>R5*Assumptions!$B$18</x:f>
        <x:v>20250</x:v>
      </x:c>
      <x:c r="S6" s="20" t="n">
        <x:f>S5*Assumptions!$B$18</x:f>
        <x:v>20250</x:v>
      </x:c>
      <x:c r="T6" s="20" t="n">
        <x:f>T5*Assumptions!$B$18</x:f>
        <x:v>20250</x:v>
      </x:c>
      <x:c r="U6" s="20" t="n">
        <x:f>U5*Assumptions!$B$18</x:f>
        <x:v>20250</x:v>
      </x:c>
      <x:c r="V6" s="20" t="n">
        <x:f>V5*Assumptions!$B$18</x:f>
        <x:v>20250</x:v>
      </x:c>
      <x:c r="W6" s="20" t="n">
        <x:f>W5*Assumptions!$B$18</x:f>
        <x:v>20250</x:v>
      </x:c>
      <x:c r="X6" s="20" t="n">
        <x:f>X5*Assumptions!$B$18</x:f>
        <x:v>20250</x:v>
      </x:c>
      <x:c r="Y6" s="20" t="n">
        <x:f>Y5*Assumptions!$B$18</x:f>
        <x:v>20250</x:v>
      </x:c>
      <x:c r="Z6" s="20" t="n">
        <x:f>Z5*Assumptions!$B$18</x:f>
        <x:v>20250</x:v>
      </x:c>
      <x:c r="AA6" s="20" t="n">
        <x:f>AA5*Assumptions!$B$18</x:f>
        <x:v>20250</x:v>
      </x:c>
      <x:c r="AB6" s="20" t="n">
        <x:f>AB5*Assumptions!$B$18</x:f>
        <x:v>20250</x:v>
      </x:c>
      <x:c r="AC6" s="20" t="n">
        <x:f>AC5*Assumptions!$B$18</x:f>
        <x:v>20250</x:v>
      </x:c>
      <x:c r="AD6" s="20" t="n">
        <x:f>AD5*Assumptions!$B$18</x:f>
        <x:v>20250</x:v>
      </x:c>
      <x:c r="AE6" s="20" t="n">
        <x:f>AE5*Assumptions!$B$18</x:f>
        <x:v>20250</x:v>
      </x:c>
      <x:c r="AF6" s="20" t="n">
        <x:f>AF5*Assumptions!$B$18</x:f>
        <x:v>20250</x:v>
      </x:c>
      <x:c r="AG6" s="20" t="n">
        <x:f>AG5*Assumptions!$B$18</x:f>
        <x:v>20250</x:v>
      </x:c>
      <x:c r="AH6" s="20" t="n">
        <x:f>AH5*Assumptions!$B$18</x:f>
        <x:v>20250</x:v>
      </x:c>
      <x:c r="AI6" s="20" t="n">
        <x:f>AI5*Assumptions!$B$18</x:f>
        <x:v>20250</x:v>
      </x:c>
      <x:c r="AJ6" s="20" t="n">
        <x:f>AJ5*Assumptions!$B$18</x:f>
        <x:v>20250</x:v>
      </x:c>
      <x:c r="AK6" s="20" t="n">
        <x:f>AK5*Assumptions!$B$18</x:f>
        <x:v>20250</x:v>
      </x:c>
    </x:row>
    <x:row r="7">
      <x:c r="A7" s="7" t="inlineStr">
        <x:is>
          <x:t xml:space="preserve">Coach messages</x:t>
        </x:is>
      </x:c>
      <x:c r="B7" s="20" t="n">
        <x:f>B6*Assumptions!$B$19</x:f>
        <x:v>0</x:v>
      </x:c>
      <x:c r="C7" s="20" t="n">
        <x:f>C6*Assumptions!$B$19</x:f>
        <x:v>0</x:v>
      </x:c>
      <x:c r="D7" s="20" t="n">
        <x:f>D6*Assumptions!$B$19</x:f>
        <x:v>0</x:v>
      </x:c>
      <x:c r="E7" s="20" t="n">
        <x:f>E6*Assumptions!$B$19</x:f>
        <x:v>64800</x:v>
      </x:c>
      <x:c r="F7" s="20" t="n">
        <x:f>F6*Assumptions!$B$19</x:f>
        <x:v>64800</x:v>
      </x:c>
      <x:c r="G7" s="20" t="n">
        <x:f>G6*Assumptions!$B$19</x:f>
        <x:v>64800</x:v>
      </x:c>
      <x:c r="H7" s="20" t="n">
        <x:f>H6*Assumptions!$B$19</x:f>
        <x:v>145800</x:v>
      </x:c>
      <x:c r="I7" s="20" t="n">
        <x:f>I6*Assumptions!$B$19</x:f>
        <x:v>145800</x:v>
      </x:c>
      <x:c r="J7" s="20" t="n">
        <x:f>J6*Assumptions!$B$19</x:f>
        <x:v>145800</x:v>
      </x:c>
      <x:c r="K7" s="20" t="n">
        <x:f>K6*Assumptions!$B$19</x:f>
        <x:v>145800</x:v>
      </x:c>
      <x:c r="L7" s="20" t="n">
        <x:f>L6*Assumptions!$B$19</x:f>
        <x:v>145800</x:v>
      </x:c>
      <x:c r="M7" s="20" t="n">
        <x:f>M6*Assumptions!$B$19</x:f>
        <x:v>145800</x:v>
      </x:c>
      <x:c r="N7" s="20" t="n">
        <x:f>N6*Assumptions!$B$19</x:f>
        <x:v>243000</x:v>
      </x:c>
      <x:c r="O7" s="20" t="n">
        <x:f>O6*Assumptions!$B$19</x:f>
        <x:v>243000</x:v>
      </x:c>
      <x:c r="P7" s="20" t="n">
        <x:f>P6*Assumptions!$B$19</x:f>
        <x:v>243000</x:v>
      </x:c>
      <x:c r="Q7" s="20" t="n">
        <x:f>Q6*Assumptions!$B$19</x:f>
        <x:v>243000</x:v>
      </x:c>
      <x:c r="R7" s="20" t="n">
        <x:f>R6*Assumptions!$B$19</x:f>
        <x:v>243000</x:v>
      </x:c>
      <x:c r="S7" s="20" t="n">
        <x:f>S6*Assumptions!$B$19</x:f>
        <x:v>243000</x:v>
      </x:c>
      <x:c r="T7" s="20" t="n">
        <x:f>T6*Assumptions!$B$19</x:f>
        <x:v>243000</x:v>
      </x:c>
      <x:c r="U7" s="20" t="n">
        <x:f>U6*Assumptions!$B$19</x:f>
        <x:v>243000</x:v>
      </x:c>
      <x:c r="V7" s="20" t="n">
        <x:f>V6*Assumptions!$B$19</x:f>
        <x:v>243000</x:v>
      </x:c>
      <x:c r="W7" s="20" t="n">
        <x:f>W6*Assumptions!$B$19</x:f>
        <x:v>243000</x:v>
      </x:c>
      <x:c r="X7" s="20" t="n">
        <x:f>X6*Assumptions!$B$19</x:f>
        <x:v>243000</x:v>
      </x:c>
      <x:c r="Y7" s="20" t="n">
        <x:f>Y6*Assumptions!$B$19</x:f>
        <x:v>243000</x:v>
      </x:c>
      <x:c r="Z7" s="20" t="n">
        <x:f>Z6*Assumptions!$B$19</x:f>
        <x:v>243000</x:v>
      </x:c>
      <x:c r="AA7" s="20" t="n">
        <x:f>AA6*Assumptions!$B$19</x:f>
        <x:v>243000</x:v>
      </x:c>
      <x:c r="AB7" s="20" t="n">
        <x:f>AB6*Assumptions!$B$19</x:f>
        <x:v>243000</x:v>
      </x:c>
      <x:c r="AC7" s="20" t="n">
        <x:f>AC6*Assumptions!$B$19</x:f>
        <x:v>243000</x:v>
      </x:c>
      <x:c r="AD7" s="20" t="n">
        <x:f>AD6*Assumptions!$B$19</x:f>
        <x:v>243000</x:v>
      </x:c>
      <x:c r="AE7" s="20" t="n">
        <x:f>AE6*Assumptions!$B$19</x:f>
        <x:v>243000</x:v>
      </x:c>
      <x:c r="AF7" s="20" t="n">
        <x:f>AF6*Assumptions!$B$19</x:f>
        <x:v>243000</x:v>
      </x:c>
      <x:c r="AG7" s="20" t="n">
        <x:f>AG6*Assumptions!$B$19</x:f>
        <x:v>243000</x:v>
      </x:c>
      <x:c r="AH7" s="20" t="n">
        <x:f>AH6*Assumptions!$B$19</x:f>
        <x:v>243000</x:v>
      </x:c>
      <x:c r="AI7" s="20" t="n">
        <x:f>AI6*Assumptions!$B$19</x:f>
        <x:v>243000</x:v>
      </x:c>
      <x:c r="AJ7" s="20" t="n">
        <x:f>AJ6*Assumptions!$B$19</x:f>
        <x:v>243000</x:v>
      </x:c>
      <x:c r="AK7" s="20" t="n">
        <x:f>AK6*Assumptions!$B$19</x:f>
        <x:v>243000</x:v>
      </x:c>
    </x:row>
    <x:row r="8">
      <x:c r="A8" s="7" t="inlineStr">
        <x:is>
          <x:t xml:space="preserve">Coach LLM (USD)</x:t>
        </x:is>
      </x:c>
      <x:c r="B8" s="26" t="n">
        <x:f>B7*(Assumptions!$B$22*Assumptions!$B$33+Assumptions!$B$23*Assumptions!$B$35+Assumptions!$B$24*Assumptions!$B$34)/1000000</x:f>
        <x:v>0</x:v>
      </x:c>
      <x:c r="C8" s="26" t="n">
        <x:f>C7*(Assumptions!$B$22*Assumptions!$B$33+Assumptions!$B$23*Assumptions!$B$35+Assumptions!$B$24*Assumptions!$B$34)/1000000</x:f>
        <x:v>0</x:v>
      </x:c>
      <x:c r="D8" s="26" t="n">
        <x:f>D7*(Assumptions!$B$22*Assumptions!$B$33+Assumptions!$B$23*Assumptions!$B$35+Assumptions!$B$24*Assumptions!$B$34)/1000000</x:f>
        <x:v>0</x:v>
      </x:c>
      <x:c r="E8" s="26" t="n">
        <x:f>E7*(Assumptions!$B$22*Assumptions!$B$33+Assumptions!$B$23*Assumptions!$B$35+Assumptions!$B$24*Assumptions!$B$34)/1000000</x:f>
        <x:v>670.032</x:v>
      </x:c>
      <x:c r="F8" s="26" t="n">
        <x:f>F7*(Assumptions!$B$22*Assumptions!$B$33+Assumptions!$B$23*Assumptions!$B$35+Assumptions!$B$24*Assumptions!$B$34)/1000000</x:f>
        <x:v>670.032</x:v>
      </x:c>
      <x:c r="G8" s="26" t="n">
        <x:f>G7*(Assumptions!$B$22*Assumptions!$B$33+Assumptions!$B$23*Assumptions!$B$35+Assumptions!$B$24*Assumptions!$B$34)/1000000</x:f>
        <x:v>670.032</x:v>
      </x:c>
      <x:c r="H8" s="26" t="n">
        <x:f>H7*(Assumptions!$B$22*Assumptions!$B$33+Assumptions!$B$23*Assumptions!$B$35+Assumptions!$B$24*Assumptions!$B$34)/1000000</x:f>
        <x:v>1507.572</x:v>
      </x:c>
      <x:c r="I8" s="26" t="n">
        <x:f>I7*(Assumptions!$B$22*Assumptions!$B$33+Assumptions!$B$23*Assumptions!$B$35+Assumptions!$B$24*Assumptions!$B$34)/1000000</x:f>
        <x:v>1507.572</x:v>
      </x:c>
      <x:c r="J8" s="26" t="n">
        <x:f>J7*(Assumptions!$B$22*Assumptions!$B$33+Assumptions!$B$23*Assumptions!$B$35+Assumptions!$B$24*Assumptions!$B$34)/1000000</x:f>
        <x:v>1507.572</x:v>
      </x:c>
      <x:c r="K8" s="26" t="n">
        <x:f>K7*(Assumptions!$B$22*Assumptions!$B$33+Assumptions!$B$23*Assumptions!$B$35+Assumptions!$B$24*Assumptions!$B$34)/1000000</x:f>
        <x:v>1507.572</x:v>
      </x:c>
      <x:c r="L8" s="26" t="n">
        <x:f>L7*(Assumptions!$B$22*Assumptions!$B$33+Assumptions!$B$23*Assumptions!$B$35+Assumptions!$B$24*Assumptions!$B$34)/1000000</x:f>
        <x:v>1507.572</x:v>
      </x:c>
      <x:c r="M8" s="26" t="n">
        <x:f>M7*(Assumptions!$B$22*Assumptions!$B$33+Assumptions!$B$23*Assumptions!$B$35+Assumptions!$B$24*Assumptions!$B$34)/1000000</x:f>
        <x:v>1507.572</x:v>
      </x:c>
      <x:c r="N8" s="26" t="n">
        <x:f>N7*(Assumptions!$B$22*Assumptions!$B$33+Assumptions!$B$23*Assumptions!$B$35+Assumptions!$B$24*Assumptions!$B$34)/1000000</x:f>
        <x:v>2512.62</x:v>
      </x:c>
      <x:c r="O8" s="26" t="n">
        <x:f>O7*(Assumptions!$B$22*Assumptions!$B$33+Assumptions!$B$23*Assumptions!$B$35+Assumptions!$B$24*Assumptions!$B$34)/1000000</x:f>
        <x:v>2512.62</x:v>
      </x:c>
      <x:c r="P8" s="26" t="n">
        <x:f>P7*(Assumptions!$B$22*Assumptions!$B$33+Assumptions!$B$23*Assumptions!$B$35+Assumptions!$B$24*Assumptions!$B$34)/1000000</x:f>
        <x:v>2512.62</x:v>
      </x:c>
      <x:c r="Q8" s="26" t="n">
        <x:f>Q7*(Assumptions!$B$22*Assumptions!$B$33+Assumptions!$B$23*Assumptions!$B$35+Assumptions!$B$24*Assumptions!$B$34)/1000000</x:f>
        <x:v>2512.62</x:v>
      </x:c>
      <x:c r="R8" s="26" t="n">
        <x:f>R7*(Assumptions!$B$22*Assumptions!$B$33+Assumptions!$B$23*Assumptions!$B$35+Assumptions!$B$24*Assumptions!$B$34)/1000000</x:f>
        <x:v>2512.62</x:v>
      </x:c>
      <x:c r="S8" s="26" t="n">
        <x:f>S7*(Assumptions!$B$22*Assumptions!$B$33+Assumptions!$B$23*Assumptions!$B$35+Assumptions!$B$24*Assumptions!$B$34)/1000000</x:f>
        <x:v>2512.62</x:v>
      </x:c>
      <x:c r="T8" s="26" t="n">
        <x:f>T7*(Assumptions!$B$22*Assumptions!$B$33+Assumptions!$B$23*Assumptions!$B$35+Assumptions!$B$24*Assumptions!$B$34)/1000000</x:f>
        <x:v>2512.62</x:v>
      </x:c>
      <x:c r="U8" s="26" t="n">
        <x:f>U7*(Assumptions!$B$22*Assumptions!$B$33+Assumptions!$B$23*Assumptions!$B$35+Assumptions!$B$24*Assumptions!$B$34)/1000000</x:f>
        <x:v>2512.62</x:v>
      </x:c>
      <x:c r="V8" s="26" t="n">
        <x:f>V7*(Assumptions!$B$22*Assumptions!$B$33+Assumptions!$B$23*Assumptions!$B$35+Assumptions!$B$24*Assumptions!$B$34)/1000000</x:f>
        <x:v>2512.62</x:v>
      </x:c>
      <x:c r="W8" s="26" t="n">
        <x:f>W7*(Assumptions!$B$22*Assumptions!$B$33+Assumptions!$B$23*Assumptions!$B$35+Assumptions!$B$24*Assumptions!$B$34)/1000000</x:f>
        <x:v>2512.62</x:v>
      </x:c>
      <x:c r="X8" s="26" t="n">
        <x:f>X7*(Assumptions!$B$22*Assumptions!$B$33+Assumptions!$B$23*Assumptions!$B$35+Assumptions!$B$24*Assumptions!$B$34)/1000000</x:f>
        <x:v>2512.62</x:v>
      </x:c>
      <x:c r="Y8" s="26" t="n">
        <x:f>Y7*(Assumptions!$B$22*Assumptions!$B$33+Assumptions!$B$23*Assumptions!$B$35+Assumptions!$B$24*Assumptions!$B$34)/1000000</x:f>
        <x:v>2512.62</x:v>
      </x:c>
      <x:c r="Z8" s="26" t="n">
        <x:f>Z7*(Assumptions!$B$22*Assumptions!$B$33+Assumptions!$B$23*Assumptions!$B$35+Assumptions!$B$24*Assumptions!$B$34)/1000000</x:f>
        <x:v>2512.62</x:v>
      </x:c>
      <x:c r="AA8" s="26" t="n">
        <x:f>AA7*(Assumptions!$B$22*Assumptions!$B$33+Assumptions!$B$23*Assumptions!$B$35+Assumptions!$B$24*Assumptions!$B$34)/1000000</x:f>
        <x:v>2512.62</x:v>
      </x:c>
      <x:c r="AB8" s="26" t="n">
        <x:f>AB7*(Assumptions!$B$22*Assumptions!$B$33+Assumptions!$B$23*Assumptions!$B$35+Assumptions!$B$24*Assumptions!$B$34)/1000000</x:f>
        <x:v>2512.62</x:v>
      </x:c>
      <x:c r="AC8" s="26" t="n">
        <x:f>AC7*(Assumptions!$B$22*Assumptions!$B$33+Assumptions!$B$23*Assumptions!$B$35+Assumptions!$B$24*Assumptions!$B$34)/1000000</x:f>
        <x:v>2512.62</x:v>
      </x:c>
      <x:c r="AD8" s="26" t="n">
        <x:f>AD7*(Assumptions!$B$22*Assumptions!$B$33+Assumptions!$B$23*Assumptions!$B$35+Assumptions!$B$24*Assumptions!$B$34)/1000000</x:f>
        <x:v>2512.62</x:v>
      </x:c>
      <x:c r="AE8" s="26" t="n">
        <x:f>AE7*(Assumptions!$B$22*Assumptions!$B$33+Assumptions!$B$23*Assumptions!$B$35+Assumptions!$B$24*Assumptions!$B$34)/1000000</x:f>
        <x:v>2512.62</x:v>
      </x:c>
      <x:c r="AF8" s="26" t="n">
        <x:f>AF7*(Assumptions!$B$22*Assumptions!$B$33+Assumptions!$B$23*Assumptions!$B$35+Assumptions!$B$24*Assumptions!$B$34)/1000000</x:f>
        <x:v>2512.62</x:v>
      </x:c>
      <x:c r="AG8" s="26" t="n">
        <x:f>AG7*(Assumptions!$B$22*Assumptions!$B$33+Assumptions!$B$23*Assumptions!$B$35+Assumptions!$B$24*Assumptions!$B$34)/1000000</x:f>
        <x:v>2512.62</x:v>
      </x:c>
      <x:c r="AH8" s="26" t="n">
        <x:f>AH7*(Assumptions!$B$22*Assumptions!$B$33+Assumptions!$B$23*Assumptions!$B$35+Assumptions!$B$24*Assumptions!$B$34)/1000000</x:f>
        <x:v>2512.62</x:v>
      </x:c>
      <x:c r="AI8" s="26" t="n">
        <x:f>AI7*(Assumptions!$B$22*Assumptions!$B$33+Assumptions!$B$23*Assumptions!$B$35+Assumptions!$B$24*Assumptions!$B$34)/1000000</x:f>
        <x:v>2512.62</x:v>
      </x:c>
      <x:c r="AJ8" s="26" t="n">
        <x:f>AJ7*(Assumptions!$B$22*Assumptions!$B$33+Assumptions!$B$23*Assumptions!$B$35+Assumptions!$B$24*Assumptions!$B$34)/1000000</x:f>
        <x:v>2512.62</x:v>
      </x:c>
      <x:c r="AK8" s="26" t="n">
        <x:f>AK7*(Assumptions!$B$22*Assumptions!$B$33+Assumptions!$B$23*Assumptions!$B$35+Assumptions!$B$24*Assumptions!$B$34)/1000000</x:f>
        <x:v>2512.62</x:v>
      </x:c>
    </x:row>
    <x:row r="9">
      <x:c r="A9" s="7" t="inlineStr">
        <x:is>
          <x:t xml:space="preserve">Guardrail classifier LLM (USD)</x:t>
        </x:is>
      </x:c>
      <x:c r="B9" s="26" t="n">
        <x:f>B7*(Assumptions!$B$25*Assumptions!$B$38+Assumptions!$B$26*Assumptions!$B$39)/1000000</x:f>
        <x:v>0</x:v>
      </x:c>
      <x:c r="C9" s="26" t="n">
        <x:f>C7*(Assumptions!$B$25*Assumptions!$B$38+Assumptions!$B$26*Assumptions!$B$39)/1000000</x:f>
        <x:v>0</x:v>
      </x:c>
      <x:c r="D9" s="26" t="n">
        <x:f>D7*(Assumptions!$B$25*Assumptions!$B$38+Assumptions!$B$26*Assumptions!$B$39)/1000000</x:f>
        <x:v>0</x:v>
      </x:c>
      <x:c r="E9" s="26" t="n">
        <x:f>E7*(Assumptions!$B$25*Assumptions!$B$38+Assumptions!$B$26*Assumptions!$B$39)/1000000</x:f>
        <x:v>5.832</x:v>
      </x:c>
      <x:c r="F9" s="26" t="n">
        <x:f>F7*(Assumptions!$B$25*Assumptions!$B$38+Assumptions!$B$26*Assumptions!$B$39)/1000000</x:f>
        <x:v>5.832</x:v>
      </x:c>
      <x:c r="G9" s="26" t="n">
        <x:f>G7*(Assumptions!$B$25*Assumptions!$B$38+Assumptions!$B$26*Assumptions!$B$39)/1000000</x:f>
        <x:v>5.832</x:v>
      </x:c>
      <x:c r="H9" s="26" t="n">
        <x:f>H7*(Assumptions!$B$25*Assumptions!$B$38+Assumptions!$B$26*Assumptions!$B$39)/1000000</x:f>
        <x:v>13.122</x:v>
      </x:c>
      <x:c r="I9" s="26" t="n">
        <x:f>I7*(Assumptions!$B$25*Assumptions!$B$38+Assumptions!$B$26*Assumptions!$B$39)/1000000</x:f>
        <x:v>13.122</x:v>
      </x:c>
      <x:c r="J9" s="26" t="n">
        <x:f>J7*(Assumptions!$B$25*Assumptions!$B$38+Assumptions!$B$26*Assumptions!$B$39)/1000000</x:f>
        <x:v>13.122</x:v>
      </x:c>
      <x:c r="K9" s="26" t="n">
        <x:f>K7*(Assumptions!$B$25*Assumptions!$B$38+Assumptions!$B$26*Assumptions!$B$39)/1000000</x:f>
        <x:v>13.122</x:v>
      </x:c>
      <x:c r="L9" s="26" t="n">
        <x:f>L7*(Assumptions!$B$25*Assumptions!$B$38+Assumptions!$B$26*Assumptions!$B$39)/1000000</x:f>
        <x:v>13.122</x:v>
      </x:c>
      <x:c r="M9" s="26" t="n">
        <x:f>M7*(Assumptions!$B$25*Assumptions!$B$38+Assumptions!$B$26*Assumptions!$B$39)/1000000</x:f>
        <x:v>13.122</x:v>
      </x:c>
      <x:c r="N9" s="26" t="n">
        <x:f>N7*(Assumptions!$B$25*Assumptions!$B$38+Assumptions!$B$26*Assumptions!$B$39)/1000000</x:f>
        <x:v>21.87</x:v>
      </x:c>
      <x:c r="O9" s="26" t="n">
        <x:f>O7*(Assumptions!$B$25*Assumptions!$B$38+Assumptions!$B$26*Assumptions!$B$39)/1000000</x:f>
        <x:v>21.87</x:v>
      </x:c>
      <x:c r="P9" s="26" t="n">
        <x:f>P7*(Assumptions!$B$25*Assumptions!$B$38+Assumptions!$B$26*Assumptions!$B$39)/1000000</x:f>
        <x:v>21.87</x:v>
      </x:c>
      <x:c r="Q9" s="26" t="n">
        <x:f>Q7*(Assumptions!$B$25*Assumptions!$B$38+Assumptions!$B$26*Assumptions!$B$39)/1000000</x:f>
        <x:v>21.87</x:v>
      </x:c>
      <x:c r="R9" s="26" t="n">
        <x:f>R7*(Assumptions!$B$25*Assumptions!$B$38+Assumptions!$B$26*Assumptions!$B$39)/1000000</x:f>
        <x:v>21.87</x:v>
      </x:c>
      <x:c r="S9" s="26" t="n">
        <x:f>S7*(Assumptions!$B$25*Assumptions!$B$38+Assumptions!$B$26*Assumptions!$B$39)/1000000</x:f>
        <x:v>21.87</x:v>
      </x:c>
      <x:c r="T9" s="26" t="n">
        <x:f>T7*(Assumptions!$B$25*Assumptions!$B$38+Assumptions!$B$26*Assumptions!$B$39)/1000000</x:f>
        <x:v>21.87</x:v>
      </x:c>
      <x:c r="U9" s="26" t="n">
        <x:f>U7*(Assumptions!$B$25*Assumptions!$B$38+Assumptions!$B$26*Assumptions!$B$39)/1000000</x:f>
        <x:v>21.87</x:v>
      </x:c>
      <x:c r="V9" s="26" t="n">
        <x:f>V7*(Assumptions!$B$25*Assumptions!$B$38+Assumptions!$B$26*Assumptions!$B$39)/1000000</x:f>
        <x:v>21.87</x:v>
      </x:c>
      <x:c r="W9" s="26" t="n">
        <x:f>W7*(Assumptions!$B$25*Assumptions!$B$38+Assumptions!$B$26*Assumptions!$B$39)/1000000</x:f>
        <x:v>21.87</x:v>
      </x:c>
      <x:c r="X9" s="26" t="n">
        <x:f>X7*(Assumptions!$B$25*Assumptions!$B$38+Assumptions!$B$26*Assumptions!$B$39)/1000000</x:f>
        <x:v>21.87</x:v>
      </x:c>
      <x:c r="Y9" s="26" t="n">
        <x:f>Y7*(Assumptions!$B$25*Assumptions!$B$38+Assumptions!$B$26*Assumptions!$B$39)/1000000</x:f>
        <x:v>21.87</x:v>
      </x:c>
      <x:c r="Z9" s="26" t="n">
        <x:f>Z7*(Assumptions!$B$25*Assumptions!$B$38+Assumptions!$B$26*Assumptions!$B$39)/1000000</x:f>
        <x:v>21.87</x:v>
      </x:c>
      <x:c r="AA9" s="26" t="n">
        <x:f>AA7*(Assumptions!$B$25*Assumptions!$B$38+Assumptions!$B$26*Assumptions!$B$39)/1000000</x:f>
        <x:v>21.87</x:v>
      </x:c>
      <x:c r="AB9" s="26" t="n">
        <x:f>AB7*(Assumptions!$B$25*Assumptions!$B$38+Assumptions!$B$26*Assumptions!$B$39)/1000000</x:f>
        <x:v>21.87</x:v>
      </x:c>
      <x:c r="AC9" s="26" t="n">
        <x:f>AC7*(Assumptions!$B$25*Assumptions!$B$38+Assumptions!$B$26*Assumptions!$B$39)/1000000</x:f>
        <x:v>21.87</x:v>
      </x:c>
      <x:c r="AD9" s="26" t="n">
        <x:f>AD7*(Assumptions!$B$25*Assumptions!$B$38+Assumptions!$B$26*Assumptions!$B$39)/1000000</x:f>
        <x:v>21.87</x:v>
      </x:c>
      <x:c r="AE9" s="26" t="n">
        <x:f>AE7*(Assumptions!$B$25*Assumptions!$B$38+Assumptions!$B$26*Assumptions!$B$39)/1000000</x:f>
        <x:v>21.87</x:v>
      </x:c>
      <x:c r="AF9" s="26" t="n">
        <x:f>AF7*(Assumptions!$B$25*Assumptions!$B$38+Assumptions!$B$26*Assumptions!$B$39)/1000000</x:f>
        <x:v>21.87</x:v>
      </x:c>
      <x:c r="AG9" s="26" t="n">
        <x:f>AG7*(Assumptions!$B$25*Assumptions!$B$38+Assumptions!$B$26*Assumptions!$B$39)/1000000</x:f>
        <x:v>21.87</x:v>
      </x:c>
      <x:c r="AH9" s="26" t="n">
        <x:f>AH7*(Assumptions!$B$25*Assumptions!$B$38+Assumptions!$B$26*Assumptions!$B$39)/1000000</x:f>
        <x:v>21.87</x:v>
      </x:c>
      <x:c r="AI9" s="26" t="n">
        <x:f>AI7*(Assumptions!$B$25*Assumptions!$B$38+Assumptions!$B$26*Assumptions!$B$39)/1000000</x:f>
        <x:v>21.87</x:v>
      </x:c>
      <x:c r="AJ9" s="26" t="n">
        <x:f>AJ7*(Assumptions!$B$25*Assumptions!$B$38+Assumptions!$B$26*Assumptions!$B$39)/1000000</x:f>
        <x:v>21.87</x:v>
      </x:c>
      <x:c r="AK9" s="26" t="n">
        <x:f>AK7*(Assumptions!$B$25*Assumptions!$B$38+Assumptions!$B$26*Assumptions!$B$39)/1000000</x:f>
        <x:v>21.87</x:v>
      </x:c>
    </x:row>
    <x:row r="10">
      <x:c r="A10" s="7" t="inlineStr">
        <x:is>
          <x:t xml:space="preserve">Nudges LLM (USD)</x:t>
        </x:is>
      </x:c>
      <x:c r="B10" s="26" t="n">
        <x:f>B5*Assumptions!$B$20*(Assumptions!$B$27*Assumptions!$B$38+Assumptions!$B$28*Assumptions!$B$39)/1000000</x:f>
        <x:v>0</x:v>
      </x:c>
      <x:c r="C10" s="26" t="n">
        <x:f>C5*Assumptions!$B$20*(Assumptions!$B$27*Assumptions!$B$38+Assumptions!$B$28*Assumptions!$B$39)/1000000</x:f>
        <x:v>0</x:v>
      </x:c>
      <x:c r="D10" s="26" t="n">
        <x:f>D5*Assumptions!$B$20*(Assumptions!$B$27*Assumptions!$B$38+Assumptions!$B$28*Assumptions!$B$39)/1000000</x:f>
        <x:v>0</x:v>
      </x:c>
      <x:c r="E10" s="26" t="n">
        <x:f>E5*Assumptions!$B$20*(Assumptions!$B$27*Assumptions!$B$38+Assumptions!$B$28*Assumptions!$B$39)/1000000</x:f>
        <x:v>5.28</x:v>
      </x:c>
      <x:c r="F10" s="26" t="n">
        <x:f>F5*Assumptions!$B$20*(Assumptions!$B$27*Assumptions!$B$38+Assumptions!$B$28*Assumptions!$B$39)/1000000</x:f>
        <x:v>5.28</x:v>
      </x:c>
      <x:c r="G10" s="26" t="n">
        <x:f>G5*Assumptions!$B$20*(Assumptions!$B$27*Assumptions!$B$38+Assumptions!$B$28*Assumptions!$B$39)/1000000</x:f>
        <x:v>5.28</x:v>
      </x:c>
      <x:c r="H10" s="26" t="n">
        <x:f>H5*Assumptions!$B$20*(Assumptions!$B$27*Assumptions!$B$38+Assumptions!$B$28*Assumptions!$B$39)/1000000</x:f>
        <x:v>11.88</x:v>
      </x:c>
      <x:c r="I10" s="26" t="n">
        <x:f>I5*Assumptions!$B$20*(Assumptions!$B$27*Assumptions!$B$38+Assumptions!$B$28*Assumptions!$B$39)/1000000</x:f>
        <x:v>11.88</x:v>
      </x:c>
      <x:c r="J10" s="26" t="n">
        <x:f>J5*Assumptions!$B$20*(Assumptions!$B$27*Assumptions!$B$38+Assumptions!$B$28*Assumptions!$B$39)/1000000</x:f>
        <x:v>11.88</x:v>
      </x:c>
      <x:c r="K10" s="26" t="n">
        <x:f>K5*Assumptions!$B$20*(Assumptions!$B$27*Assumptions!$B$38+Assumptions!$B$28*Assumptions!$B$39)/1000000</x:f>
        <x:v>11.88</x:v>
      </x:c>
      <x:c r="L10" s="26" t="n">
        <x:f>L5*Assumptions!$B$20*(Assumptions!$B$27*Assumptions!$B$38+Assumptions!$B$28*Assumptions!$B$39)/1000000</x:f>
        <x:v>11.88</x:v>
      </x:c>
      <x:c r="M10" s="26" t="n">
        <x:f>M5*Assumptions!$B$20*(Assumptions!$B$27*Assumptions!$B$38+Assumptions!$B$28*Assumptions!$B$39)/1000000</x:f>
        <x:v>11.88</x:v>
      </x:c>
      <x:c r="N10" s="26" t="n">
        <x:f>N5*Assumptions!$B$20*(Assumptions!$B$27*Assumptions!$B$38+Assumptions!$B$28*Assumptions!$B$39)/1000000</x:f>
        <x:v>19.8</x:v>
      </x:c>
      <x:c r="O10" s="26" t="n">
        <x:f>O5*Assumptions!$B$20*(Assumptions!$B$27*Assumptions!$B$38+Assumptions!$B$28*Assumptions!$B$39)/1000000</x:f>
        <x:v>19.8</x:v>
      </x:c>
      <x:c r="P10" s="26" t="n">
        <x:f>P5*Assumptions!$B$20*(Assumptions!$B$27*Assumptions!$B$38+Assumptions!$B$28*Assumptions!$B$39)/1000000</x:f>
        <x:v>19.8</x:v>
      </x:c>
      <x:c r="Q10" s="26" t="n">
        <x:f>Q5*Assumptions!$B$20*(Assumptions!$B$27*Assumptions!$B$38+Assumptions!$B$28*Assumptions!$B$39)/1000000</x:f>
        <x:v>19.8</x:v>
      </x:c>
      <x:c r="R10" s="26" t="n">
        <x:f>R5*Assumptions!$B$20*(Assumptions!$B$27*Assumptions!$B$38+Assumptions!$B$28*Assumptions!$B$39)/1000000</x:f>
        <x:v>19.8</x:v>
      </x:c>
      <x:c r="S10" s="26" t="n">
        <x:f>S5*Assumptions!$B$20*(Assumptions!$B$27*Assumptions!$B$38+Assumptions!$B$28*Assumptions!$B$39)/1000000</x:f>
        <x:v>19.8</x:v>
      </x:c>
      <x:c r="T10" s="26" t="n">
        <x:f>T5*Assumptions!$B$20*(Assumptions!$B$27*Assumptions!$B$38+Assumptions!$B$28*Assumptions!$B$39)/1000000</x:f>
        <x:v>19.8</x:v>
      </x:c>
      <x:c r="U10" s="26" t="n">
        <x:f>U5*Assumptions!$B$20*(Assumptions!$B$27*Assumptions!$B$38+Assumptions!$B$28*Assumptions!$B$39)/1000000</x:f>
        <x:v>19.8</x:v>
      </x:c>
      <x:c r="V10" s="26" t="n">
        <x:f>V5*Assumptions!$B$20*(Assumptions!$B$27*Assumptions!$B$38+Assumptions!$B$28*Assumptions!$B$39)/1000000</x:f>
        <x:v>19.8</x:v>
      </x:c>
      <x:c r="W10" s="26" t="n">
        <x:f>W5*Assumptions!$B$20*(Assumptions!$B$27*Assumptions!$B$38+Assumptions!$B$28*Assumptions!$B$39)/1000000</x:f>
        <x:v>19.8</x:v>
      </x:c>
      <x:c r="X10" s="26" t="n">
        <x:f>X5*Assumptions!$B$20*(Assumptions!$B$27*Assumptions!$B$38+Assumptions!$B$28*Assumptions!$B$39)/1000000</x:f>
        <x:v>19.8</x:v>
      </x:c>
      <x:c r="Y10" s="26" t="n">
        <x:f>Y5*Assumptions!$B$20*(Assumptions!$B$27*Assumptions!$B$38+Assumptions!$B$28*Assumptions!$B$39)/1000000</x:f>
        <x:v>19.8</x:v>
      </x:c>
      <x:c r="Z10" s="26" t="n">
        <x:f>Z5*Assumptions!$B$20*(Assumptions!$B$27*Assumptions!$B$38+Assumptions!$B$28*Assumptions!$B$39)/1000000</x:f>
        <x:v>19.8</x:v>
      </x:c>
      <x:c r="AA10" s="26" t="n">
        <x:f>AA5*Assumptions!$B$20*(Assumptions!$B$27*Assumptions!$B$38+Assumptions!$B$28*Assumptions!$B$39)/1000000</x:f>
        <x:v>19.8</x:v>
      </x:c>
      <x:c r="AB10" s="26" t="n">
        <x:f>AB5*Assumptions!$B$20*(Assumptions!$B$27*Assumptions!$B$38+Assumptions!$B$28*Assumptions!$B$39)/1000000</x:f>
        <x:v>19.8</x:v>
      </x:c>
      <x:c r="AC10" s="26" t="n">
        <x:f>AC5*Assumptions!$B$20*(Assumptions!$B$27*Assumptions!$B$38+Assumptions!$B$28*Assumptions!$B$39)/1000000</x:f>
        <x:v>19.8</x:v>
      </x:c>
      <x:c r="AD10" s="26" t="n">
        <x:f>AD5*Assumptions!$B$20*(Assumptions!$B$27*Assumptions!$B$38+Assumptions!$B$28*Assumptions!$B$39)/1000000</x:f>
        <x:v>19.8</x:v>
      </x:c>
      <x:c r="AE10" s="26" t="n">
        <x:f>AE5*Assumptions!$B$20*(Assumptions!$B$27*Assumptions!$B$38+Assumptions!$B$28*Assumptions!$B$39)/1000000</x:f>
        <x:v>19.8</x:v>
      </x:c>
      <x:c r="AF10" s="26" t="n">
        <x:f>AF5*Assumptions!$B$20*(Assumptions!$B$27*Assumptions!$B$38+Assumptions!$B$28*Assumptions!$B$39)/1000000</x:f>
        <x:v>19.8</x:v>
      </x:c>
      <x:c r="AG10" s="26" t="n">
        <x:f>AG5*Assumptions!$B$20*(Assumptions!$B$27*Assumptions!$B$38+Assumptions!$B$28*Assumptions!$B$39)/1000000</x:f>
        <x:v>19.8</x:v>
      </x:c>
      <x:c r="AH10" s="26" t="n">
        <x:f>AH5*Assumptions!$B$20*(Assumptions!$B$27*Assumptions!$B$38+Assumptions!$B$28*Assumptions!$B$39)/1000000</x:f>
        <x:v>19.8</x:v>
      </x:c>
      <x:c r="AI10" s="26" t="n">
        <x:f>AI5*Assumptions!$B$20*(Assumptions!$B$27*Assumptions!$B$38+Assumptions!$B$28*Assumptions!$B$39)/1000000</x:f>
        <x:v>19.8</x:v>
      </x:c>
      <x:c r="AJ10" s="26" t="n">
        <x:f>AJ5*Assumptions!$B$20*(Assumptions!$B$27*Assumptions!$B$38+Assumptions!$B$28*Assumptions!$B$39)/1000000</x:f>
        <x:v>19.8</x:v>
      </x:c>
      <x:c r="AK10" s="26" t="n">
        <x:f>AK5*Assumptions!$B$20*(Assumptions!$B$27*Assumptions!$B$38+Assumptions!$B$28*Assumptions!$B$39)/1000000</x:f>
        <x:v>19.8</x:v>
      </x:c>
    </x:row>
    <x:row r="11">
      <x:c r="A11" s="7" t="inlineStr">
        <x:is>
          <x:t xml:space="preserve">Path generation LLM, batch (USD)</x:t>
        </x:is>
      </x:c>
      <x:c r="B11" s="26" t="n">
        <x:f>B5*Assumptions!$B$21/12*(Assumptions!$B$29*Assumptions!$B$33+Assumptions!$B$30*Assumptions!$B$34)/1000000*(1-Assumptions!$B$40)</x:f>
        <x:v>0</x:v>
      </x:c>
      <x:c r="C11" s="26" t="n">
        <x:f>C5*Assumptions!$B$21/12*(Assumptions!$B$29*Assumptions!$B$33+Assumptions!$B$30*Assumptions!$B$34)/1000000*(1-Assumptions!$B$40)</x:f>
        <x:v>0</x:v>
      </x:c>
      <x:c r="D11" s="26" t="n">
        <x:f>D5*Assumptions!$B$21/12*(Assumptions!$B$29*Assumptions!$B$33+Assumptions!$B$30*Assumptions!$B$34)/1000000*(1-Assumptions!$B$40)</x:f>
        <x:v>0</x:v>
      </x:c>
      <x:c r="E11" s="26" t="n">
        <x:f>E5*Assumptions!$B$21/12*(Assumptions!$B$29*Assumptions!$B$33+Assumptions!$B$30*Assumptions!$B$34)/1000000*(1-Assumptions!$B$40)</x:f>
        <x:v>37</x:v>
      </x:c>
      <x:c r="F11" s="26" t="n">
        <x:f>F5*Assumptions!$B$21/12*(Assumptions!$B$29*Assumptions!$B$33+Assumptions!$B$30*Assumptions!$B$34)/1000000*(1-Assumptions!$B$40)</x:f>
        <x:v>37</x:v>
      </x:c>
      <x:c r="G11" s="26" t="n">
        <x:f>G5*Assumptions!$B$21/12*(Assumptions!$B$29*Assumptions!$B$33+Assumptions!$B$30*Assumptions!$B$34)/1000000*(1-Assumptions!$B$40)</x:f>
        <x:v>37</x:v>
      </x:c>
      <x:c r="H11" s="26" t="n">
        <x:f>H5*Assumptions!$B$21/12*(Assumptions!$B$29*Assumptions!$B$33+Assumptions!$B$30*Assumptions!$B$34)/1000000*(1-Assumptions!$B$40)</x:f>
        <x:v>83.25</x:v>
      </x:c>
      <x:c r="I11" s="26" t="n">
        <x:f>I5*Assumptions!$B$21/12*(Assumptions!$B$29*Assumptions!$B$33+Assumptions!$B$30*Assumptions!$B$34)/1000000*(1-Assumptions!$B$40)</x:f>
        <x:v>83.25</x:v>
      </x:c>
      <x:c r="J11" s="26" t="n">
        <x:f>J5*Assumptions!$B$21/12*(Assumptions!$B$29*Assumptions!$B$33+Assumptions!$B$30*Assumptions!$B$34)/1000000*(1-Assumptions!$B$40)</x:f>
        <x:v>83.25</x:v>
      </x:c>
      <x:c r="K11" s="26" t="n">
        <x:f>K5*Assumptions!$B$21/12*(Assumptions!$B$29*Assumptions!$B$33+Assumptions!$B$30*Assumptions!$B$34)/1000000*(1-Assumptions!$B$40)</x:f>
        <x:v>83.25</x:v>
      </x:c>
      <x:c r="L11" s="26" t="n">
        <x:f>L5*Assumptions!$B$21/12*(Assumptions!$B$29*Assumptions!$B$33+Assumptions!$B$30*Assumptions!$B$34)/1000000*(1-Assumptions!$B$40)</x:f>
        <x:v>83.25</x:v>
      </x:c>
      <x:c r="M11" s="26" t="n">
        <x:f>M5*Assumptions!$B$21/12*(Assumptions!$B$29*Assumptions!$B$33+Assumptions!$B$30*Assumptions!$B$34)/1000000*(1-Assumptions!$B$40)</x:f>
        <x:v>83.25</x:v>
      </x:c>
      <x:c r="N11" s="26" t="n">
        <x:f>N5*Assumptions!$B$21/12*(Assumptions!$B$29*Assumptions!$B$33+Assumptions!$B$30*Assumptions!$B$34)/1000000*(1-Assumptions!$B$40)</x:f>
        <x:v>138.75</x:v>
      </x:c>
      <x:c r="O11" s="26" t="n">
        <x:f>O5*Assumptions!$B$21/12*(Assumptions!$B$29*Assumptions!$B$33+Assumptions!$B$30*Assumptions!$B$34)/1000000*(1-Assumptions!$B$40)</x:f>
        <x:v>138.75</x:v>
      </x:c>
      <x:c r="P11" s="26" t="n">
        <x:f>P5*Assumptions!$B$21/12*(Assumptions!$B$29*Assumptions!$B$33+Assumptions!$B$30*Assumptions!$B$34)/1000000*(1-Assumptions!$B$40)</x:f>
        <x:v>138.75</x:v>
      </x:c>
      <x:c r="Q11" s="26" t="n">
        <x:f>Q5*Assumptions!$B$21/12*(Assumptions!$B$29*Assumptions!$B$33+Assumptions!$B$30*Assumptions!$B$34)/1000000*(1-Assumptions!$B$40)</x:f>
        <x:v>138.75</x:v>
      </x:c>
      <x:c r="R11" s="26" t="n">
        <x:f>R5*Assumptions!$B$21/12*(Assumptions!$B$29*Assumptions!$B$33+Assumptions!$B$30*Assumptions!$B$34)/1000000*(1-Assumptions!$B$40)</x:f>
        <x:v>138.75</x:v>
      </x:c>
      <x:c r="S11" s="26" t="n">
        <x:f>S5*Assumptions!$B$21/12*(Assumptions!$B$29*Assumptions!$B$33+Assumptions!$B$30*Assumptions!$B$34)/1000000*(1-Assumptions!$B$40)</x:f>
        <x:v>138.75</x:v>
      </x:c>
      <x:c r="T11" s="26" t="n">
        <x:f>T5*Assumptions!$B$21/12*(Assumptions!$B$29*Assumptions!$B$33+Assumptions!$B$30*Assumptions!$B$34)/1000000*(1-Assumptions!$B$40)</x:f>
        <x:v>138.75</x:v>
      </x:c>
      <x:c r="U11" s="26" t="n">
        <x:f>U5*Assumptions!$B$21/12*(Assumptions!$B$29*Assumptions!$B$33+Assumptions!$B$30*Assumptions!$B$34)/1000000*(1-Assumptions!$B$40)</x:f>
        <x:v>138.75</x:v>
      </x:c>
      <x:c r="V11" s="26" t="n">
        <x:f>V5*Assumptions!$B$21/12*(Assumptions!$B$29*Assumptions!$B$33+Assumptions!$B$30*Assumptions!$B$34)/1000000*(1-Assumptions!$B$40)</x:f>
        <x:v>138.75</x:v>
      </x:c>
      <x:c r="W11" s="26" t="n">
        <x:f>W5*Assumptions!$B$21/12*(Assumptions!$B$29*Assumptions!$B$33+Assumptions!$B$30*Assumptions!$B$34)/1000000*(1-Assumptions!$B$40)</x:f>
        <x:v>138.75</x:v>
      </x:c>
      <x:c r="X11" s="26" t="n">
        <x:f>X5*Assumptions!$B$21/12*(Assumptions!$B$29*Assumptions!$B$33+Assumptions!$B$30*Assumptions!$B$34)/1000000*(1-Assumptions!$B$40)</x:f>
        <x:v>138.75</x:v>
      </x:c>
      <x:c r="Y11" s="26" t="n">
        <x:f>Y5*Assumptions!$B$21/12*(Assumptions!$B$29*Assumptions!$B$33+Assumptions!$B$30*Assumptions!$B$34)/1000000*(1-Assumptions!$B$40)</x:f>
        <x:v>138.75</x:v>
      </x:c>
      <x:c r="Z11" s="26" t="n">
        <x:f>Z5*Assumptions!$B$21/12*(Assumptions!$B$29*Assumptions!$B$33+Assumptions!$B$30*Assumptions!$B$34)/1000000*(1-Assumptions!$B$40)</x:f>
        <x:v>138.75</x:v>
      </x:c>
      <x:c r="AA11" s="26" t="n">
        <x:f>AA5*Assumptions!$B$21/12*(Assumptions!$B$29*Assumptions!$B$33+Assumptions!$B$30*Assumptions!$B$34)/1000000*(1-Assumptions!$B$40)</x:f>
        <x:v>138.75</x:v>
      </x:c>
      <x:c r="AB11" s="26" t="n">
        <x:f>AB5*Assumptions!$B$21/12*(Assumptions!$B$29*Assumptions!$B$33+Assumptions!$B$30*Assumptions!$B$34)/1000000*(1-Assumptions!$B$40)</x:f>
        <x:v>138.75</x:v>
      </x:c>
      <x:c r="AC11" s="26" t="n">
        <x:f>AC5*Assumptions!$B$21/12*(Assumptions!$B$29*Assumptions!$B$33+Assumptions!$B$30*Assumptions!$B$34)/1000000*(1-Assumptions!$B$40)</x:f>
        <x:v>138.75</x:v>
      </x:c>
      <x:c r="AD11" s="26" t="n">
        <x:f>AD5*Assumptions!$B$21/12*(Assumptions!$B$29*Assumptions!$B$33+Assumptions!$B$30*Assumptions!$B$34)/1000000*(1-Assumptions!$B$40)</x:f>
        <x:v>138.75</x:v>
      </x:c>
      <x:c r="AE11" s="26" t="n">
        <x:f>AE5*Assumptions!$B$21/12*(Assumptions!$B$29*Assumptions!$B$33+Assumptions!$B$30*Assumptions!$B$34)/1000000*(1-Assumptions!$B$40)</x:f>
        <x:v>138.75</x:v>
      </x:c>
      <x:c r="AF11" s="26" t="n">
        <x:f>AF5*Assumptions!$B$21/12*(Assumptions!$B$29*Assumptions!$B$33+Assumptions!$B$30*Assumptions!$B$34)/1000000*(1-Assumptions!$B$40)</x:f>
        <x:v>138.75</x:v>
      </x:c>
      <x:c r="AG11" s="26" t="n">
        <x:f>AG5*Assumptions!$B$21/12*(Assumptions!$B$29*Assumptions!$B$33+Assumptions!$B$30*Assumptions!$B$34)/1000000*(1-Assumptions!$B$40)</x:f>
        <x:v>138.75</x:v>
      </x:c>
      <x:c r="AH11" s="26" t="n">
        <x:f>AH5*Assumptions!$B$21/12*(Assumptions!$B$29*Assumptions!$B$33+Assumptions!$B$30*Assumptions!$B$34)/1000000*(1-Assumptions!$B$40)</x:f>
        <x:v>138.75</x:v>
      </x:c>
      <x:c r="AI11" s="26" t="n">
        <x:f>AI5*Assumptions!$B$21/12*(Assumptions!$B$29*Assumptions!$B$33+Assumptions!$B$30*Assumptions!$B$34)/1000000*(1-Assumptions!$B$40)</x:f>
        <x:v>138.75</x:v>
      </x:c>
      <x:c r="AJ11" s="26" t="n">
        <x:f>AJ5*Assumptions!$B$21/12*(Assumptions!$B$29*Assumptions!$B$33+Assumptions!$B$30*Assumptions!$B$34)/1000000*(1-Assumptions!$B$40)</x:f>
        <x:v>138.75</x:v>
      </x:c>
      <x:c r="AK11" s="26" t="n">
        <x:f>AK5*Assumptions!$B$21/12*(Assumptions!$B$29*Assumptions!$B$33+Assumptions!$B$30*Assumptions!$B$34)/1000000*(1-Assumptions!$B$40)</x:f>
        <x:v>138.75</x:v>
      </x:c>
    </x:row>
    <x:row r="12">
      <x:c r="A12" s="7" t="inlineStr">
        <x:is>
          <x:t xml:space="preserve">Evals and judge (USD)</x:t>
        </x:is>
      </x:c>
      <x:c r="B12" s="26" t="n">
        <x:f>IF(B5&gt;0,Assumptions!$B$31,0)</x:f>
        <x:v>0</x:v>
      </x:c>
      <x:c r="C12" s="26" t="n">
        <x:f>IF(C5&gt;0,Assumptions!$B$31,0)</x:f>
        <x:v>0</x:v>
      </x:c>
      <x:c r="D12" s="26" t="n">
        <x:f>IF(D5&gt;0,Assumptions!$B$31,0)</x:f>
        <x:v>0</x:v>
      </x:c>
      <x:c r="E12" s="26" t="n">
        <x:f>IF(E5&gt;0,Assumptions!$B$31,0)</x:f>
        <x:v>150</x:v>
      </x:c>
      <x:c r="F12" s="26" t="n">
        <x:f>IF(F5&gt;0,Assumptions!$B$31,0)</x:f>
        <x:v>150</x:v>
      </x:c>
      <x:c r="G12" s="26" t="n">
        <x:f>IF(G5&gt;0,Assumptions!$B$31,0)</x:f>
        <x:v>150</x:v>
      </x:c>
      <x:c r="H12" s="26" t="n">
        <x:f>IF(H5&gt;0,Assumptions!$B$31,0)</x:f>
        <x:v>150</x:v>
      </x:c>
      <x:c r="I12" s="26" t="n">
        <x:f>IF(I5&gt;0,Assumptions!$B$31,0)</x:f>
        <x:v>150</x:v>
      </x:c>
      <x:c r="J12" s="26" t="n">
        <x:f>IF(J5&gt;0,Assumptions!$B$31,0)</x:f>
        <x:v>150</x:v>
      </x:c>
      <x:c r="K12" s="26" t="n">
        <x:f>IF(K5&gt;0,Assumptions!$B$31,0)</x:f>
        <x:v>150</x:v>
      </x:c>
      <x:c r="L12" s="26" t="n">
        <x:f>IF(L5&gt;0,Assumptions!$B$31,0)</x:f>
        <x:v>150</x:v>
      </x:c>
      <x:c r="M12" s="26" t="n">
        <x:f>IF(M5&gt;0,Assumptions!$B$31,0)</x:f>
        <x:v>150</x:v>
      </x:c>
      <x:c r="N12" s="26" t="n">
        <x:f>IF(N5&gt;0,Assumptions!$B$31,0)</x:f>
        <x:v>150</x:v>
      </x:c>
      <x:c r="O12" s="26" t="n">
        <x:f>IF(O5&gt;0,Assumptions!$B$31,0)</x:f>
        <x:v>150</x:v>
      </x:c>
      <x:c r="P12" s="26" t="n">
        <x:f>IF(P5&gt;0,Assumptions!$B$31,0)</x:f>
        <x:v>150</x:v>
      </x:c>
      <x:c r="Q12" s="26" t="n">
        <x:f>IF(Q5&gt;0,Assumptions!$B$31,0)</x:f>
        <x:v>150</x:v>
      </x:c>
      <x:c r="R12" s="26" t="n">
        <x:f>IF(R5&gt;0,Assumptions!$B$31,0)</x:f>
        <x:v>150</x:v>
      </x:c>
      <x:c r="S12" s="26" t="n">
        <x:f>IF(S5&gt;0,Assumptions!$B$31,0)</x:f>
        <x:v>150</x:v>
      </x:c>
      <x:c r="T12" s="26" t="n">
        <x:f>IF(T5&gt;0,Assumptions!$B$31,0)</x:f>
        <x:v>150</x:v>
      </x:c>
      <x:c r="U12" s="26" t="n">
        <x:f>IF(U5&gt;0,Assumptions!$B$31,0)</x:f>
        <x:v>150</x:v>
      </x:c>
      <x:c r="V12" s="26" t="n">
        <x:f>IF(V5&gt;0,Assumptions!$B$31,0)</x:f>
        <x:v>150</x:v>
      </x:c>
      <x:c r="W12" s="26" t="n">
        <x:f>IF(W5&gt;0,Assumptions!$B$31,0)</x:f>
        <x:v>150</x:v>
      </x:c>
      <x:c r="X12" s="26" t="n">
        <x:f>IF(X5&gt;0,Assumptions!$B$31,0)</x:f>
        <x:v>150</x:v>
      </x:c>
      <x:c r="Y12" s="26" t="n">
        <x:f>IF(Y5&gt;0,Assumptions!$B$31,0)</x:f>
        <x:v>150</x:v>
      </x:c>
      <x:c r="Z12" s="26" t="n">
        <x:f>IF(Z5&gt;0,Assumptions!$B$31,0)</x:f>
        <x:v>150</x:v>
      </x:c>
      <x:c r="AA12" s="26" t="n">
        <x:f>IF(AA5&gt;0,Assumptions!$B$31,0)</x:f>
        <x:v>150</x:v>
      </x:c>
      <x:c r="AB12" s="26" t="n">
        <x:f>IF(AB5&gt;0,Assumptions!$B$31,0)</x:f>
        <x:v>150</x:v>
      </x:c>
      <x:c r="AC12" s="26" t="n">
        <x:f>IF(AC5&gt;0,Assumptions!$B$31,0)</x:f>
        <x:v>150</x:v>
      </x:c>
      <x:c r="AD12" s="26" t="n">
        <x:f>IF(AD5&gt;0,Assumptions!$B$31,0)</x:f>
        <x:v>150</x:v>
      </x:c>
      <x:c r="AE12" s="26" t="n">
        <x:f>IF(AE5&gt;0,Assumptions!$B$31,0)</x:f>
        <x:v>150</x:v>
      </x:c>
      <x:c r="AF12" s="26" t="n">
        <x:f>IF(AF5&gt;0,Assumptions!$B$31,0)</x:f>
        <x:v>150</x:v>
      </x:c>
      <x:c r="AG12" s="26" t="n">
        <x:f>IF(AG5&gt;0,Assumptions!$B$31,0)</x:f>
        <x:v>150</x:v>
      </x:c>
      <x:c r="AH12" s="26" t="n">
        <x:f>IF(AH5&gt;0,Assumptions!$B$31,0)</x:f>
        <x:v>150</x:v>
      </x:c>
      <x:c r="AI12" s="26" t="n">
        <x:f>IF(AI5&gt;0,Assumptions!$B$31,0)</x:f>
        <x:v>150</x:v>
      </x:c>
      <x:c r="AJ12" s="26" t="n">
        <x:f>IF(AJ5&gt;0,Assumptions!$B$31,0)</x:f>
        <x:v>150</x:v>
      </x:c>
      <x:c r="AK12" s="26" t="n">
        <x:f>IF(AK5&gt;0,Assumptions!$B$31,0)</x:f>
        <x:v>150</x:v>
      </x:c>
    </x:row>
    <x:row r="13">
      <x:c r="A13" s="18" t="inlineStr">
        <x:is>
          <x:t xml:space="preserve">AI / LLM total incl. contingency</x:t>
        </x:is>
      </x:c>
      <x:c r="B13" s="20" t="n">
        <x:f>SUM(B8:B12)*(1+Assumptions!$B$41)*Assumptions!$B$6</x:f>
        <x:v>0</x:v>
      </x:c>
      <x:c r="C13" s="20" t="n">
        <x:f>SUM(C8:C12)*(1+Assumptions!$B$41)*Assumptions!$B$6</x:f>
        <x:v>0</x:v>
      </x:c>
      <x:c r="D13" s="20" t="n">
        <x:f>SUM(D8:D12)*(1+Assumptions!$B$41)*Assumptions!$B$6</x:f>
        <x:v>0</x:v>
      </x:c>
      <x:c r="E13" s="20" t="n">
        <x:f>SUM(E8:E12)*(1+Assumptions!$B$41)*Assumptions!$B$6</x:f>
        <x:v>38371.9648</x:v>
      </x:c>
      <x:c r="F13" s="20" t="n">
        <x:f>SUM(F8:F12)*(1+Assumptions!$B$41)*Assumptions!$B$6</x:f>
        <x:v>38371.9648</x:v>
      </x:c>
      <x:c r="G13" s="20" t="n">
        <x:f>SUM(G8:G12)*(1+Assumptions!$B$41)*Assumptions!$B$6</x:f>
        <x:v>38371.9648</x:v>
      </x:c>
      <x:c r="H13" s="20" t="n">
        <x:f>SUM(H8:H12)*(1+Assumptions!$B$41)*Assumptions!$B$6</x:f>
        <x:v>78049.4208</x:v>
      </x:c>
      <x:c r="I13" s="20" t="n">
        <x:f>SUM(I8:I12)*(1+Assumptions!$B$41)*Assumptions!$B$6</x:f>
        <x:v>78049.4208</x:v>
      </x:c>
      <x:c r="J13" s="20" t="n">
        <x:f>SUM(J8:J12)*(1+Assumptions!$B$41)*Assumptions!$B$6</x:f>
        <x:v>78049.4208</x:v>
      </x:c>
      <x:c r="K13" s="20" t="n">
        <x:f>SUM(K8:K12)*(1+Assumptions!$B$41)*Assumptions!$B$6</x:f>
        <x:v>78049.4208</x:v>
      </x:c>
      <x:c r="L13" s="20" t="n">
        <x:f>SUM(L8:L12)*(1+Assumptions!$B$41)*Assumptions!$B$6</x:f>
        <x:v>78049.4208</x:v>
      </x:c>
      <x:c r="M13" s="20" t="n">
        <x:f>SUM(M8:M12)*(1+Assumptions!$B$41)*Assumptions!$B$6</x:f>
        <x:v>78049.4208</x:v>
      </x:c>
      <x:c r="N13" s="20" t="n">
        <x:f>SUM(N8:N12)*(1+Assumptions!$B$41)*Assumptions!$B$6</x:f>
        <x:v>125662.368</x:v>
      </x:c>
      <x:c r="O13" s="20" t="n">
        <x:f>SUM(O8:O12)*(1+Assumptions!$B$41)*Assumptions!$B$6</x:f>
        <x:v>125662.368</x:v>
      </x:c>
      <x:c r="P13" s="20" t="n">
        <x:f>SUM(P8:P12)*(1+Assumptions!$B$41)*Assumptions!$B$6</x:f>
        <x:v>125662.368</x:v>
      </x:c>
      <x:c r="Q13" s="20" t="n">
        <x:f>SUM(Q8:Q12)*(1+Assumptions!$B$41)*Assumptions!$B$6</x:f>
        <x:v>125662.368</x:v>
      </x:c>
      <x:c r="R13" s="20" t="n">
        <x:f>SUM(R8:R12)*(1+Assumptions!$B$41)*Assumptions!$B$6</x:f>
        <x:v>125662.368</x:v>
      </x:c>
      <x:c r="S13" s="20" t="n">
        <x:f>SUM(S8:S12)*(1+Assumptions!$B$41)*Assumptions!$B$6</x:f>
        <x:v>125662.368</x:v>
      </x:c>
      <x:c r="T13" s="20" t="n">
        <x:f>SUM(T8:T12)*(1+Assumptions!$B$41)*Assumptions!$B$6</x:f>
        <x:v>125662.368</x:v>
      </x:c>
      <x:c r="U13" s="20" t="n">
        <x:f>SUM(U8:U12)*(1+Assumptions!$B$41)*Assumptions!$B$6</x:f>
        <x:v>125662.368</x:v>
      </x:c>
      <x:c r="V13" s="20" t="n">
        <x:f>SUM(V8:V12)*(1+Assumptions!$B$41)*Assumptions!$B$6</x:f>
        <x:v>125662.368</x:v>
      </x:c>
      <x:c r="W13" s="20" t="n">
        <x:f>SUM(W8:W12)*(1+Assumptions!$B$41)*Assumptions!$B$6</x:f>
        <x:v>125662.368</x:v>
      </x:c>
      <x:c r="X13" s="20" t="n">
        <x:f>SUM(X8:X12)*(1+Assumptions!$B$41)*Assumptions!$B$6</x:f>
        <x:v>125662.368</x:v>
      </x:c>
      <x:c r="Y13" s="20" t="n">
        <x:f>SUM(Y8:Y12)*(1+Assumptions!$B$41)*Assumptions!$B$6</x:f>
        <x:v>125662.368</x:v>
      </x:c>
      <x:c r="Z13" s="20" t="n">
        <x:f>SUM(Z8:Z12)*(1+Assumptions!$B$41)*Assumptions!$B$6</x:f>
        <x:v>125662.368</x:v>
      </x:c>
      <x:c r="AA13" s="20" t="n">
        <x:f>SUM(AA8:AA12)*(1+Assumptions!$B$41)*Assumptions!$B$6</x:f>
        <x:v>125662.368</x:v>
      </x:c>
      <x:c r="AB13" s="20" t="n">
        <x:f>SUM(AB8:AB12)*(1+Assumptions!$B$41)*Assumptions!$B$6</x:f>
        <x:v>125662.368</x:v>
      </x:c>
      <x:c r="AC13" s="20" t="n">
        <x:f>SUM(AC8:AC12)*(1+Assumptions!$B$41)*Assumptions!$B$6</x:f>
        <x:v>125662.368</x:v>
      </x:c>
      <x:c r="AD13" s="20" t="n">
        <x:f>SUM(AD8:AD12)*(1+Assumptions!$B$41)*Assumptions!$B$6</x:f>
        <x:v>125662.368</x:v>
      </x:c>
      <x:c r="AE13" s="20" t="n">
        <x:f>SUM(AE8:AE12)*(1+Assumptions!$B$41)*Assumptions!$B$6</x:f>
        <x:v>125662.368</x:v>
      </x:c>
      <x:c r="AF13" s="20" t="n">
        <x:f>SUM(AF8:AF12)*(1+Assumptions!$B$41)*Assumptions!$B$6</x:f>
        <x:v>125662.368</x:v>
      </x:c>
      <x:c r="AG13" s="20" t="n">
        <x:f>SUM(AG8:AG12)*(1+Assumptions!$B$41)*Assumptions!$B$6</x:f>
        <x:v>125662.368</x:v>
      </x:c>
      <x:c r="AH13" s="20" t="n">
        <x:f>SUM(AH8:AH12)*(1+Assumptions!$B$41)*Assumptions!$B$6</x:f>
        <x:v>125662.368</x:v>
      </x:c>
      <x:c r="AI13" s="20" t="n">
        <x:f>SUM(AI8:AI12)*(1+Assumptions!$B$41)*Assumptions!$B$6</x:f>
        <x:v>125662.368</x:v>
      </x:c>
      <x:c r="AJ13" s="20" t="n">
        <x:f>SUM(AJ8:AJ12)*(1+Assumptions!$B$41)*Assumptions!$B$6</x:f>
        <x:v>125662.368</x:v>
      </x:c>
      <x:c r="AK13" s="20" t="n">
        <x:f>SUM(AK8:AK12)*(1+Assumptions!$B$41)*Assumptions!$B$6</x:f>
        <x:v>125662.368</x:v>
      </x:c>
    </x:row>
    <x:row r="14">
      <x:c r="A14" s="7" t="inlineStr">
        <x:is>
          <x:t xml:space="preserve">Cloud infrastructure</x:t>
        </x:is>
      </x:c>
      <x:c r="B14" s="20" t="n">
        <x:f>IF(B5&gt;0,Assumptions!$B$43+Assumptions!$B$44*B5,0)</x:f>
        <x:v>0</x:v>
      </x:c>
      <x:c r="C14" s="20" t="n">
        <x:f>IF(C5&gt;0,Assumptions!$B$43+Assumptions!$B$44*C5,0)</x:f>
        <x:v>0</x:v>
      </x:c>
      <x:c r="D14" s="20" t="n">
        <x:f>IF(D5&gt;0,Assumptions!$B$43+Assumptions!$B$44*D5,0)</x:f>
        <x:v>0</x:v>
      </x:c>
      <x:c r="E14" s="20" t="n">
        <x:f>IF(E5&gt;0,Assumptions!$B$43+Assumptions!$B$44*E5,0)</x:f>
        <x:v>91600</x:v>
      </x:c>
      <x:c r="F14" s="20" t="n">
        <x:f>IF(F5&gt;0,Assumptions!$B$43+Assumptions!$B$44*F5,0)</x:f>
        <x:v>91600</x:v>
      </x:c>
      <x:c r="G14" s="20" t="n">
        <x:f>IF(G5&gt;0,Assumptions!$B$43+Assumptions!$B$44*G5,0)</x:f>
        <x:v>91600</x:v>
      </x:c>
      <x:c r="H14" s="20" t="n">
        <x:f>IF(H5&gt;0,Assumptions!$B$43+Assumptions!$B$44*H5,0)</x:f>
        <x:v>118600</x:v>
      </x:c>
      <x:c r="I14" s="20" t="n">
        <x:f>IF(I5&gt;0,Assumptions!$B$43+Assumptions!$B$44*I5,0)</x:f>
        <x:v>118600</x:v>
      </x:c>
      <x:c r="J14" s="20" t="n">
        <x:f>IF(J5&gt;0,Assumptions!$B$43+Assumptions!$B$44*J5,0)</x:f>
        <x:v>118600</x:v>
      </x:c>
      <x:c r="K14" s="20" t="n">
        <x:f>IF(K5&gt;0,Assumptions!$B$43+Assumptions!$B$44*K5,0)</x:f>
        <x:v>118600</x:v>
      </x:c>
      <x:c r="L14" s="20" t="n">
        <x:f>IF(L5&gt;0,Assumptions!$B$43+Assumptions!$B$44*L5,0)</x:f>
        <x:v>118600</x:v>
      </x:c>
      <x:c r="M14" s="20" t="n">
        <x:f>IF(M5&gt;0,Assumptions!$B$43+Assumptions!$B$44*M5,0)</x:f>
        <x:v>118600</x:v>
      </x:c>
      <x:c r="N14" s="20" t="n">
        <x:f>IF(N5&gt;0,Assumptions!$B$43+Assumptions!$B$44*N5,0)</x:f>
        <x:v>151000</x:v>
      </x:c>
      <x:c r="O14" s="20" t="n">
        <x:f>IF(O5&gt;0,Assumptions!$B$43+Assumptions!$B$44*O5,0)</x:f>
        <x:v>151000</x:v>
      </x:c>
      <x:c r="P14" s="20" t="n">
        <x:f>IF(P5&gt;0,Assumptions!$B$43+Assumptions!$B$44*P5,0)</x:f>
        <x:v>151000</x:v>
      </x:c>
      <x:c r="Q14" s="20" t="n">
        <x:f>IF(Q5&gt;0,Assumptions!$B$43+Assumptions!$B$44*Q5,0)</x:f>
        <x:v>151000</x:v>
      </x:c>
      <x:c r="R14" s="20" t="n">
        <x:f>IF(R5&gt;0,Assumptions!$B$43+Assumptions!$B$44*R5,0)</x:f>
        <x:v>151000</x:v>
      </x:c>
      <x:c r="S14" s="20" t="n">
        <x:f>IF(S5&gt;0,Assumptions!$B$43+Assumptions!$B$44*S5,0)</x:f>
        <x:v>151000</x:v>
      </x:c>
      <x:c r="T14" s="20" t="n">
        <x:f>IF(T5&gt;0,Assumptions!$B$43+Assumptions!$B$44*T5,0)</x:f>
        <x:v>151000</x:v>
      </x:c>
      <x:c r="U14" s="20" t="n">
        <x:f>IF(U5&gt;0,Assumptions!$B$43+Assumptions!$B$44*U5,0)</x:f>
        <x:v>151000</x:v>
      </x:c>
      <x:c r="V14" s="20" t="n">
        <x:f>IF(V5&gt;0,Assumptions!$B$43+Assumptions!$B$44*V5,0)</x:f>
        <x:v>151000</x:v>
      </x:c>
      <x:c r="W14" s="20" t="n">
        <x:f>IF(W5&gt;0,Assumptions!$B$43+Assumptions!$B$44*W5,0)</x:f>
        <x:v>151000</x:v>
      </x:c>
      <x:c r="X14" s="20" t="n">
        <x:f>IF(X5&gt;0,Assumptions!$B$43+Assumptions!$B$44*X5,0)</x:f>
        <x:v>151000</x:v>
      </x:c>
      <x:c r="Y14" s="20" t="n">
        <x:f>IF(Y5&gt;0,Assumptions!$B$43+Assumptions!$B$44*Y5,0)</x:f>
        <x:v>151000</x:v>
      </x:c>
      <x:c r="Z14" s="20" t="n">
        <x:f>IF(Z5&gt;0,Assumptions!$B$43+Assumptions!$B$44*Z5,0)</x:f>
        <x:v>151000</x:v>
      </x:c>
      <x:c r="AA14" s="20" t="n">
        <x:f>IF(AA5&gt;0,Assumptions!$B$43+Assumptions!$B$44*AA5,0)</x:f>
        <x:v>151000</x:v>
      </x:c>
      <x:c r="AB14" s="20" t="n">
        <x:f>IF(AB5&gt;0,Assumptions!$B$43+Assumptions!$B$44*AB5,0)</x:f>
        <x:v>151000</x:v>
      </x:c>
      <x:c r="AC14" s="20" t="n">
        <x:f>IF(AC5&gt;0,Assumptions!$B$43+Assumptions!$B$44*AC5,0)</x:f>
        <x:v>151000</x:v>
      </x:c>
      <x:c r="AD14" s="20" t="n">
        <x:f>IF(AD5&gt;0,Assumptions!$B$43+Assumptions!$B$44*AD5,0)</x:f>
        <x:v>151000</x:v>
      </x:c>
      <x:c r="AE14" s="20" t="n">
        <x:f>IF(AE5&gt;0,Assumptions!$B$43+Assumptions!$B$44*AE5,0)</x:f>
        <x:v>151000</x:v>
      </x:c>
      <x:c r="AF14" s="20" t="n">
        <x:f>IF(AF5&gt;0,Assumptions!$B$43+Assumptions!$B$44*AF5,0)</x:f>
        <x:v>151000</x:v>
      </x:c>
      <x:c r="AG14" s="20" t="n">
        <x:f>IF(AG5&gt;0,Assumptions!$B$43+Assumptions!$B$44*AG5,0)</x:f>
        <x:v>151000</x:v>
      </x:c>
      <x:c r="AH14" s="20" t="n">
        <x:f>IF(AH5&gt;0,Assumptions!$B$43+Assumptions!$B$44*AH5,0)</x:f>
        <x:v>151000</x:v>
      </x:c>
      <x:c r="AI14" s="20" t="n">
        <x:f>IF(AI5&gt;0,Assumptions!$B$43+Assumptions!$B$44*AI5,0)</x:f>
        <x:v>151000</x:v>
      </x:c>
      <x:c r="AJ14" s="20" t="n">
        <x:f>IF(AJ5&gt;0,Assumptions!$B$43+Assumptions!$B$44*AJ5,0)</x:f>
        <x:v>151000</x:v>
      </x:c>
      <x:c r="AK14" s="20" t="n">
        <x:f>IF(AK5&gt;0,Assumptions!$B$43+Assumptions!$B$44*AK5,0)</x:f>
        <x:v>151000</x:v>
      </x:c>
    </x:row>
    <x:row r="15">
      <x:c r="A15" s="7" t="inlineStr">
        <x:is>
          <x:t xml:space="preserve">LINE Official Account</x:t>
        </x:is>
      </x:c>
      <x:c r="B15" s="20" t="n">
        <x:f>IF(B5&gt;0,Assumptions!$B$45+MAX(0,B5*Assumptions!$B$20-Assumptions!$B$46)*Assumptions!$B$47,0)</x:f>
        <x:v>0</x:v>
      </x:c>
      <x:c r="C15" s="20" t="n">
        <x:f>IF(C5&gt;0,Assumptions!$B$45+MAX(0,C5*Assumptions!$B$20-Assumptions!$B$46)*Assumptions!$B$47,0)</x:f>
        <x:v>0</x:v>
      </x:c>
      <x:c r="D15" s="20" t="n">
        <x:f>IF(D5&gt;0,Assumptions!$B$45+MAX(0,D5*Assumptions!$B$20-Assumptions!$B$46)*Assumptions!$B$47,0)</x:f>
        <x:v>0</x:v>
      </x:c>
      <x:c r="E15" s="20" t="n">
        <x:f>IF(E5&gt;0,Assumptions!$B$45+MAX(0,E5*Assumptions!$B$20-Assumptions!$B$46)*Assumptions!$B$47,0)</x:f>
        <x:v>2560</x:v>
      </x:c>
      <x:c r="F15" s="20" t="n">
        <x:f>IF(F5&gt;0,Assumptions!$B$45+MAX(0,F5*Assumptions!$B$20-Assumptions!$B$46)*Assumptions!$B$47,0)</x:f>
        <x:v>2560</x:v>
      </x:c>
      <x:c r="G15" s="20" t="n">
        <x:f>IF(G5&gt;0,Assumptions!$B$45+MAX(0,G5*Assumptions!$B$20-Assumptions!$B$46)*Assumptions!$B$47,0)</x:f>
        <x:v>2560</x:v>
      </x:c>
      <x:c r="H15" s="20" t="n">
        <x:f>IF(H5&gt;0,Assumptions!$B$45+MAX(0,H5*Assumptions!$B$20-Assumptions!$B$46)*Assumptions!$B$47,0)</x:f>
        <x:v>6160</x:v>
      </x:c>
      <x:c r="I15" s="20" t="n">
        <x:f>IF(I5&gt;0,Assumptions!$B$45+MAX(0,I5*Assumptions!$B$20-Assumptions!$B$46)*Assumptions!$B$47,0)</x:f>
        <x:v>6160</x:v>
      </x:c>
      <x:c r="J15" s="20" t="n">
        <x:f>IF(J5&gt;0,Assumptions!$B$45+MAX(0,J5*Assumptions!$B$20-Assumptions!$B$46)*Assumptions!$B$47,0)</x:f>
        <x:v>6160</x:v>
      </x:c>
      <x:c r="K15" s="20" t="n">
        <x:f>IF(K5&gt;0,Assumptions!$B$45+MAX(0,K5*Assumptions!$B$20-Assumptions!$B$46)*Assumptions!$B$47,0)</x:f>
        <x:v>6160</x:v>
      </x:c>
      <x:c r="L15" s="20" t="n">
        <x:f>IF(L5&gt;0,Assumptions!$B$45+MAX(0,L5*Assumptions!$B$20-Assumptions!$B$46)*Assumptions!$B$47,0)</x:f>
        <x:v>6160</x:v>
      </x:c>
      <x:c r="M15" s="20" t="n">
        <x:f>IF(M5&gt;0,Assumptions!$B$45+MAX(0,M5*Assumptions!$B$20-Assumptions!$B$46)*Assumptions!$B$47,0)</x:f>
        <x:v>6160</x:v>
      </x:c>
      <x:c r="N15" s="20" t="n">
        <x:f>IF(N5&gt;0,Assumptions!$B$45+MAX(0,N5*Assumptions!$B$20-Assumptions!$B$46)*Assumptions!$B$47,0)</x:f>
        <x:v>10480</x:v>
      </x:c>
      <x:c r="O15" s="20" t="n">
        <x:f>IF(O5&gt;0,Assumptions!$B$45+MAX(0,O5*Assumptions!$B$20-Assumptions!$B$46)*Assumptions!$B$47,0)</x:f>
        <x:v>10480</x:v>
      </x:c>
      <x:c r="P15" s="20" t="n">
        <x:f>IF(P5&gt;0,Assumptions!$B$45+MAX(0,P5*Assumptions!$B$20-Assumptions!$B$46)*Assumptions!$B$47,0)</x:f>
        <x:v>10480</x:v>
      </x:c>
      <x:c r="Q15" s="20" t="n">
        <x:f>IF(Q5&gt;0,Assumptions!$B$45+MAX(0,Q5*Assumptions!$B$20-Assumptions!$B$46)*Assumptions!$B$47,0)</x:f>
        <x:v>10480</x:v>
      </x:c>
      <x:c r="R15" s="20" t="n">
        <x:f>IF(R5&gt;0,Assumptions!$B$45+MAX(0,R5*Assumptions!$B$20-Assumptions!$B$46)*Assumptions!$B$47,0)</x:f>
        <x:v>10480</x:v>
      </x:c>
      <x:c r="S15" s="20" t="n">
        <x:f>IF(S5&gt;0,Assumptions!$B$45+MAX(0,S5*Assumptions!$B$20-Assumptions!$B$46)*Assumptions!$B$47,0)</x:f>
        <x:v>10480</x:v>
      </x:c>
      <x:c r="T15" s="20" t="n">
        <x:f>IF(T5&gt;0,Assumptions!$B$45+MAX(0,T5*Assumptions!$B$20-Assumptions!$B$46)*Assumptions!$B$47,0)</x:f>
        <x:v>10480</x:v>
      </x:c>
      <x:c r="U15" s="20" t="n">
        <x:f>IF(U5&gt;0,Assumptions!$B$45+MAX(0,U5*Assumptions!$B$20-Assumptions!$B$46)*Assumptions!$B$47,0)</x:f>
        <x:v>10480</x:v>
      </x:c>
      <x:c r="V15" s="20" t="n">
        <x:f>IF(V5&gt;0,Assumptions!$B$45+MAX(0,V5*Assumptions!$B$20-Assumptions!$B$46)*Assumptions!$B$47,0)</x:f>
        <x:v>10480</x:v>
      </x:c>
      <x:c r="W15" s="20" t="n">
        <x:f>IF(W5&gt;0,Assumptions!$B$45+MAX(0,W5*Assumptions!$B$20-Assumptions!$B$46)*Assumptions!$B$47,0)</x:f>
        <x:v>10480</x:v>
      </x:c>
      <x:c r="X15" s="20" t="n">
        <x:f>IF(X5&gt;0,Assumptions!$B$45+MAX(0,X5*Assumptions!$B$20-Assumptions!$B$46)*Assumptions!$B$47,0)</x:f>
        <x:v>10480</x:v>
      </x:c>
      <x:c r="Y15" s="20" t="n">
        <x:f>IF(Y5&gt;0,Assumptions!$B$45+MAX(0,Y5*Assumptions!$B$20-Assumptions!$B$46)*Assumptions!$B$47,0)</x:f>
        <x:v>10480</x:v>
      </x:c>
      <x:c r="Z15" s="20" t="n">
        <x:f>IF(Z5&gt;0,Assumptions!$B$45+MAX(0,Z5*Assumptions!$B$20-Assumptions!$B$46)*Assumptions!$B$47,0)</x:f>
        <x:v>10480</x:v>
      </x:c>
      <x:c r="AA15" s="20" t="n">
        <x:f>IF(AA5&gt;0,Assumptions!$B$45+MAX(0,AA5*Assumptions!$B$20-Assumptions!$B$46)*Assumptions!$B$47,0)</x:f>
        <x:v>10480</x:v>
      </x:c>
      <x:c r="AB15" s="20" t="n">
        <x:f>IF(AB5&gt;0,Assumptions!$B$45+MAX(0,AB5*Assumptions!$B$20-Assumptions!$B$46)*Assumptions!$B$47,0)</x:f>
        <x:v>10480</x:v>
      </x:c>
      <x:c r="AC15" s="20" t="n">
        <x:f>IF(AC5&gt;0,Assumptions!$B$45+MAX(0,AC5*Assumptions!$B$20-Assumptions!$B$46)*Assumptions!$B$47,0)</x:f>
        <x:v>10480</x:v>
      </x:c>
      <x:c r="AD15" s="20" t="n">
        <x:f>IF(AD5&gt;0,Assumptions!$B$45+MAX(0,AD5*Assumptions!$B$20-Assumptions!$B$46)*Assumptions!$B$47,0)</x:f>
        <x:v>10480</x:v>
      </x:c>
      <x:c r="AE15" s="20" t="n">
        <x:f>IF(AE5&gt;0,Assumptions!$B$45+MAX(0,AE5*Assumptions!$B$20-Assumptions!$B$46)*Assumptions!$B$47,0)</x:f>
        <x:v>10480</x:v>
      </x:c>
      <x:c r="AF15" s="20" t="n">
        <x:f>IF(AF5&gt;0,Assumptions!$B$45+MAX(0,AF5*Assumptions!$B$20-Assumptions!$B$46)*Assumptions!$B$47,0)</x:f>
        <x:v>10480</x:v>
      </x:c>
      <x:c r="AG15" s="20" t="n">
        <x:f>IF(AG5&gt;0,Assumptions!$B$45+MAX(0,AG5*Assumptions!$B$20-Assumptions!$B$46)*Assumptions!$B$47,0)</x:f>
        <x:v>10480</x:v>
      </x:c>
      <x:c r="AH15" s="20" t="n">
        <x:f>IF(AH5&gt;0,Assumptions!$B$45+MAX(0,AH5*Assumptions!$B$20-Assumptions!$B$46)*Assumptions!$B$47,0)</x:f>
        <x:v>10480</x:v>
      </x:c>
      <x:c r="AI15" s="20" t="n">
        <x:f>IF(AI5&gt;0,Assumptions!$B$45+MAX(0,AI5*Assumptions!$B$20-Assumptions!$B$46)*Assumptions!$B$47,0)</x:f>
        <x:v>10480</x:v>
      </x:c>
      <x:c r="AJ15" s="20" t="n">
        <x:f>IF(AJ5&gt;0,Assumptions!$B$45+MAX(0,AJ5*Assumptions!$B$20-Assumptions!$B$46)*Assumptions!$B$47,0)</x:f>
        <x:v>10480</x:v>
      </x:c>
      <x:c r="AK15" s="20" t="n">
        <x:f>IF(AK5&gt;0,Assumptions!$B$45+MAX(0,AK5*Assumptions!$B$20-Assumptions!$B$46)*Assumptions!$B$47,0)</x:f>
        <x:v>10480</x:v>
      </x:c>
    </x:row>
    <x:row r="16">
      <x:c r="A16" s="7" t="inlineStr">
        <x:is>
          <x:t xml:space="preserve">SMS OTP</x:t>
        </x:is>
      </x:c>
      <x:c r="B16" s="20" t="n">
        <x:f>B5*Assumptions!$B$48*Assumptions!$B$49*Assumptions!$B$50</x:f>
        <x:v>0</x:v>
      </x:c>
      <x:c r="C16" s="20" t="n">
        <x:f>C5*Assumptions!$B$48*Assumptions!$B$49*Assumptions!$B$50</x:f>
        <x:v>0</x:v>
      </x:c>
      <x:c r="D16" s="20" t="n">
        <x:f>D5*Assumptions!$B$48*Assumptions!$B$49*Assumptions!$B$50</x:f>
        <x:v>0</x:v>
      </x:c>
      <x:c r="E16" s="20" t="n">
        <x:f>E5*Assumptions!$B$48*Assumptions!$B$49*Assumptions!$B$50</x:f>
        <x:v>360</x:v>
      </x:c>
      <x:c r="F16" s="20" t="n">
        <x:f>F5*Assumptions!$B$48*Assumptions!$B$49*Assumptions!$B$50</x:f>
        <x:v>360</x:v>
      </x:c>
      <x:c r="G16" s="20" t="n">
        <x:f>G5*Assumptions!$B$48*Assumptions!$B$49*Assumptions!$B$50</x:f>
        <x:v>360</x:v>
      </x:c>
      <x:c r="H16" s="20" t="n">
        <x:f>H5*Assumptions!$B$48*Assumptions!$B$49*Assumptions!$B$50</x:f>
        <x:v>810</x:v>
      </x:c>
      <x:c r="I16" s="20" t="n">
        <x:f>I5*Assumptions!$B$48*Assumptions!$B$49*Assumptions!$B$50</x:f>
        <x:v>810</x:v>
      </x:c>
      <x:c r="J16" s="20" t="n">
        <x:f>J5*Assumptions!$B$48*Assumptions!$B$49*Assumptions!$B$50</x:f>
        <x:v>810</x:v>
      </x:c>
      <x:c r="K16" s="20" t="n">
        <x:f>K5*Assumptions!$B$48*Assumptions!$B$49*Assumptions!$B$50</x:f>
        <x:v>810</x:v>
      </x:c>
      <x:c r="L16" s="20" t="n">
        <x:f>L5*Assumptions!$B$48*Assumptions!$B$49*Assumptions!$B$50</x:f>
        <x:v>810</x:v>
      </x:c>
      <x:c r="M16" s="20" t="n">
        <x:f>M5*Assumptions!$B$48*Assumptions!$B$49*Assumptions!$B$50</x:f>
        <x:v>810</x:v>
      </x:c>
      <x:c r="N16" s="20" t="n">
        <x:f>N5*Assumptions!$B$48*Assumptions!$B$49*Assumptions!$B$50</x:f>
        <x:v>1350</x:v>
      </x:c>
      <x:c r="O16" s="20" t="n">
        <x:f>O5*Assumptions!$B$48*Assumptions!$B$49*Assumptions!$B$50</x:f>
        <x:v>1350</x:v>
      </x:c>
      <x:c r="P16" s="20" t="n">
        <x:f>P5*Assumptions!$B$48*Assumptions!$B$49*Assumptions!$B$50</x:f>
        <x:v>1350</x:v>
      </x:c>
      <x:c r="Q16" s="20" t="n">
        <x:f>Q5*Assumptions!$B$48*Assumptions!$B$49*Assumptions!$B$50</x:f>
        <x:v>1350</x:v>
      </x:c>
      <x:c r="R16" s="20" t="n">
        <x:f>R5*Assumptions!$B$48*Assumptions!$B$49*Assumptions!$B$50</x:f>
        <x:v>1350</x:v>
      </x:c>
      <x:c r="S16" s="20" t="n">
        <x:f>S5*Assumptions!$B$48*Assumptions!$B$49*Assumptions!$B$50</x:f>
        <x:v>1350</x:v>
      </x:c>
      <x:c r="T16" s="20" t="n">
        <x:f>T5*Assumptions!$B$48*Assumptions!$B$49*Assumptions!$B$50</x:f>
        <x:v>1350</x:v>
      </x:c>
      <x:c r="U16" s="20" t="n">
        <x:f>U5*Assumptions!$B$48*Assumptions!$B$49*Assumptions!$B$50</x:f>
        <x:v>1350</x:v>
      </x:c>
      <x:c r="V16" s="20" t="n">
        <x:f>V5*Assumptions!$B$48*Assumptions!$B$49*Assumptions!$B$50</x:f>
        <x:v>1350</x:v>
      </x:c>
      <x:c r="W16" s="20" t="n">
        <x:f>W5*Assumptions!$B$48*Assumptions!$B$49*Assumptions!$B$50</x:f>
        <x:v>1350</x:v>
      </x:c>
      <x:c r="X16" s="20" t="n">
        <x:f>X5*Assumptions!$B$48*Assumptions!$B$49*Assumptions!$B$50</x:f>
        <x:v>1350</x:v>
      </x:c>
      <x:c r="Y16" s="20" t="n">
        <x:f>Y5*Assumptions!$B$48*Assumptions!$B$49*Assumptions!$B$50</x:f>
        <x:v>1350</x:v>
      </x:c>
      <x:c r="Z16" s="20" t="n">
        <x:f>Z5*Assumptions!$B$48*Assumptions!$B$49*Assumptions!$B$50</x:f>
        <x:v>1350</x:v>
      </x:c>
      <x:c r="AA16" s="20" t="n">
        <x:f>AA5*Assumptions!$B$48*Assumptions!$B$49*Assumptions!$B$50</x:f>
        <x:v>1350</x:v>
      </x:c>
      <x:c r="AB16" s="20" t="n">
        <x:f>AB5*Assumptions!$B$48*Assumptions!$B$49*Assumptions!$B$50</x:f>
        <x:v>1350</x:v>
      </x:c>
      <x:c r="AC16" s="20" t="n">
        <x:f>AC5*Assumptions!$B$48*Assumptions!$B$49*Assumptions!$B$50</x:f>
        <x:v>1350</x:v>
      </x:c>
      <x:c r="AD16" s="20" t="n">
        <x:f>AD5*Assumptions!$B$48*Assumptions!$B$49*Assumptions!$B$50</x:f>
        <x:v>1350</x:v>
      </x:c>
      <x:c r="AE16" s="20" t="n">
        <x:f>AE5*Assumptions!$B$48*Assumptions!$B$49*Assumptions!$B$50</x:f>
        <x:v>1350</x:v>
      </x:c>
      <x:c r="AF16" s="20" t="n">
        <x:f>AF5*Assumptions!$B$48*Assumptions!$B$49*Assumptions!$B$50</x:f>
        <x:v>1350</x:v>
      </x:c>
      <x:c r="AG16" s="20" t="n">
        <x:f>AG5*Assumptions!$B$48*Assumptions!$B$49*Assumptions!$B$50</x:f>
        <x:v>1350</x:v>
      </x:c>
      <x:c r="AH16" s="20" t="n">
        <x:f>AH5*Assumptions!$B$48*Assumptions!$B$49*Assumptions!$B$50</x:f>
        <x:v>1350</x:v>
      </x:c>
      <x:c r="AI16" s="20" t="n">
        <x:f>AI5*Assumptions!$B$48*Assumptions!$B$49*Assumptions!$B$50</x:f>
        <x:v>1350</x:v>
      </x:c>
      <x:c r="AJ16" s="20" t="n">
        <x:f>AJ5*Assumptions!$B$48*Assumptions!$B$49*Assumptions!$B$50</x:f>
        <x:v>1350</x:v>
      </x:c>
      <x:c r="AK16" s="20" t="n">
        <x:f>AK5*Assumptions!$B$48*Assumptions!$B$49*Assumptions!$B$50</x:f>
        <x:v>1350</x:v>
      </x:c>
    </x:row>
    <x:row r="17">
      <x:c r="A17" s="7" t="inlineStr">
        <x:is>
          <x:t xml:space="preserve">Tooling</x:t>
        </x:is>
      </x:c>
      <x:c r="B17" s="20" t="n">
        <x:f>IF(B5&gt;0,Assumptions!$B$51+Assumptions!$B$52*B5,0)</x:f>
        <x:v>0</x:v>
      </x:c>
      <x:c r="C17" s="20" t="n">
        <x:f>IF(C5&gt;0,Assumptions!$B$51+Assumptions!$B$52*C5,0)</x:f>
        <x:v>0</x:v>
      </x:c>
      <x:c r="D17" s="20" t="n">
        <x:f>IF(D5&gt;0,Assumptions!$B$51+Assumptions!$B$52*D5,0)</x:f>
        <x:v>0</x:v>
      </x:c>
      <x:c r="E17" s="20" t="n">
        <x:f>IF(E5&gt;0,Assumptions!$B$51+Assumptions!$B$52*E5,0)</x:f>
        <x:v>33000</x:v>
      </x:c>
      <x:c r="F17" s="20" t="n">
        <x:f>IF(F5&gt;0,Assumptions!$B$51+Assumptions!$B$52*F5,0)</x:f>
        <x:v>33000</x:v>
      </x:c>
      <x:c r="G17" s="20" t="n">
        <x:f>IF(G5&gt;0,Assumptions!$B$51+Assumptions!$B$52*G5,0)</x:f>
        <x:v>33000</x:v>
      </x:c>
      <x:c r="H17" s="20" t="n">
        <x:f>IF(H5&gt;0,Assumptions!$B$51+Assumptions!$B$52*H5,0)</x:f>
        <x:v>36750</x:v>
      </x:c>
      <x:c r="I17" s="20" t="n">
        <x:f>IF(I5&gt;0,Assumptions!$B$51+Assumptions!$B$52*I5,0)</x:f>
        <x:v>36750</x:v>
      </x:c>
      <x:c r="J17" s="20" t="n">
        <x:f>IF(J5&gt;0,Assumptions!$B$51+Assumptions!$B$52*J5,0)</x:f>
        <x:v>36750</x:v>
      </x:c>
      <x:c r="K17" s="20" t="n">
        <x:f>IF(K5&gt;0,Assumptions!$B$51+Assumptions!$B$52*K5,0)</x:f>
        <x:v>36750</x:v>
      </x:c>
      <x:c r="L17" s="20" t="n">
        <x:f>IF(L5&gt;0,Assumptions!$B$51+Assumptions!$B$52*L5,0)</x:f>
        <x:v>36750</x:v>
      </x:c>
      <x:c r="M17" s="20" t="n">
        <x:f>IF(M5&gt;0,Assumptions!$B$51+Assumptions!$B$52*M5,0)</x:f>
        <x:v>36750</x:v>
      </x:c>
      <x:c r="N17" s="20" t="n">
        <x:f>IF(N5&gt;0,Assumptions!$B$51+Assumptions!$B$52*N5,0)</x:f>
        <x:v>41250</x:v>
      </x:c>
      <x:c r="O17" s="20" t="n">
        <x:f>IF(O5&gt;0,Assumptions!$B$51+Assumptions!$B$52*O5,0)</x:f>
        <x:v>41250</x:v>
      </x:c>
      <x:c r="P17" s="20" t="n">
        <x:f>IF(P5&gt;0,Assumptions!$B$51+Assumptions!$B$52*P5,0)</x:f>
        <x:v>41250</x:v>
      </x:c>
      <x:c r="Q17" s="20" t="n">
        <x:f>IF(Q5&gt;0,Assumptions!$B$51+Assumptions!$B$52*Q5,0)</x:f>
        <x:v>41250</x:v>
      </x:c>
      <x:c r="R17" s="20" t="n">
        <x:f>IF(R5&gt;0,Assumptions!$B$51+Assumptions!$B$52*R5,0)</x:f>
        <x:v>41250</x:v>
      </x:c>
      <x:c r="S17" s="20" t="n">
        <x:f>IF(S5&gt;0,Assumptions!$B$51+Assumptions!$B$52*S5,0)</x:f>
        <x:v>41250</x:v>
      </x:c>
      <x:c r="T17" s="20" t="n">
        <x:f>IF(T5&gt;0,Assumptions!$B$51+Assumptions!$B$52*T5,0)</x:f>
        <x:v>41250</x:v>
      </x:c>
      <x:c r="U17" s="20" t="n">
        <x:f>IF(U5&gt;0,Assumptions!$B$51+Assumptions!$B$52*U5,0)</x:f>
        <x:v>41250</x:v>
      </x:c>
      <x:c r="V17" s="20" t="n">
        <x:f>IF(V5&gt;0,Assumptions!$B$51+Assumptions!$B$52*V5,0)</x:f>
        <x:v>41250</x:v>
      </x:c>
      <x:c r="W17" s="20" t="n">
        <x:f>IF(W5&gt;0,Assumptions!$B$51+Assumptions!$B$52*W5,0)</x:f>
        <x:v>41250</x:v>
      </x:c>
      <x:c r="X17" s="20" t="n">
        <x:f>IF(X5&gt;0,Assumptions!$B$51+Assumptions!$B$52*X5,0)</x:f>
        <x:v>41250</x:v>
      </x:c>
      <x:c r="Y17" s="20" t="n">
        <x:f>IF(Y5&gt;0,Assumptions!$B$51+Assumptions!$B$52*Y5,0)</x:f>
        <x:v>41250</x:v>
      </x:c>
      <x:c r="Z17" s="20" t="n">
        <x:f>IF(Z5&gt;0,Assumptions!$B$51+Assumptions!$B$52*Z5,0)</x:f>
        <x:v>41250</x:v>
      </x:c>
      <x:c r="AA17" s="20" t="n">
        <x:f>IF(AA5&gt;0,Assumptions!$B$51+Assumptions!$B$52*AA5,0)</x:f>
        <x:v>41250</x:v>
      </x:c>
      <x:c r="AB17" s="20" t="n">
        <x:f>IF(AB5&gt;0,Assumptions!$B$51+Assumptions!$B$52*AB5,0)</x:f>
        <x:v>41250</x:v>
      </x:c>
      <x:c r="AC17" s="20" t="n">
        <x:f>IF(AC5&gt;0,Assumptions!$B$51+Assumptions!$B$52*AC5,0)</x:f>
        <x:v>41250</x:v>
      </x:c>
      <x:c r="AD17" s="20" t="n">
        <x:f>IF(AD5&gt;0,Assumptions!$B$51+Assumptions!$B$52*AD5,0)</x:f>
        <x:v>41250</x:v>
      </x:c>
      <x:c r="AE17" s="20" t="n">
        <x:f>IF(AE5&gt;0,Assumptions!$B$51+Assumptions!$B$52*AE5,0)</x:f>
        <x:v>41250</x:v>
      </x:c>
      <x:c r="AF17" s="20" t="n">
        <x:f>IF(AF5&gt;0,Assumptions!$B$51+Assumptions!$B$52*AF5,0)</x:f>
        <x:v>41250</x:v>
      </x:c>
      <x:c r="AG17" s="20" t="n">
        <x:f>IF(AG5&gt;0,Assumptions!$B$51+Assumptions!$B$52*AG5,0)</x:f>
        <x:v>41250</x:v>
      </x:c>
      <x:c r="AH17" s="20" t="n">
        <x:f>IF(AH5&gt;0,Assumptions!$B$51+Assumptions!$B$52*AH5,0)</x:f>
        <x:v>41250</x:v>
      </x:c>
      <x:c r="AI17" s="20" t="n">
        <x:f>IF(AI5&gt;0,Assumptions!$B$51+Assumptions!$B$52*AI5,0)</x:f>
        <x:v>41250</x:v>
      </x:c>
      <x:c r="AJ17" s="20" t="n">
        <x:f>IF(AJ5&gt;0,Assumptions!$B$51+Assumptions!$B$52*AJ5,0)</x:f>
        <x:v>41250</x:v>
      </x:c>
      <x:c r="AK17" s="20" t="n">
        <x:f>IF(AK5&gt;0,Assumptions!$B$51+Assumptions!$B$52*AK5,0)</x:f>
        <x:v>41250</x:v>
      </x:c>
    </x:row>
    <x:row r="18">
      <x:c r="A18" s="7" t="inlineStr">
        <x:is>
          <x:t xml:space="preserve">Security and compliance</x:t>
        </x:is>
      </x:c>
      <x:c r="B18" s="20" t="n">
        <x:f>IF(B5&gt;0,(Assumptions!$B$53+Assumptions!$B$54)/12,0)</x:f>
        <x:v>0</x:v>
      </x:c>
      <x:c r="C18" s="20" t="n">
        <x:f>IF(C5&gt;0,(Assumptions!$B$53+Assumptions!$B$54)/12,0)</x:f>
        <x:v>0</x:v>
      </x:c>
      <x:c r="D18" s="20" t="n">
        <x:f>IF(D5&gt;0,(Assumptions!$B$53+Assumptions!$B$54)/12,0)</x:f>
        <x:v>0</x:v>
      </x:c>
      <x:c r="E18" s="20" t="n">
        <x:f>IF(E5&gt;0,(Assumptions!$B$53+Assumptions!$B$54)/12,0)</x:f>
        <x:v>50000</x:v>
      </x:c>
      <x:c r="F18" s="20" t="n">
        <x:f>IF(F5&gt;0,(Assumptions!$B$53+Assumptions!$B$54)/12,0)</x:f>
        <x:v>50000</x:v>
      </x:c>
      <x:c r="G18" s="20" t="n">
        <x:f>IF(G5&gt;0,(Assumptions!$B$53+Assumptions!$B$54)/12,0)</x:f>
        <x:v>50000</x:v>
      </x:c>
      <x:c r="H18" s="20" t="n">
        <x:f>IF(H5&gt;0,(Assumptions!$B$53+Assumptions!$B$54)/12,0)</x:f>
        <x:v>50000</x:v>
      </x:c>
      <x:c r="I18" s="20" t="n">
        <x:f>IF(I5&gt;0,(Assumptions!$B$53+Assumptions!$B$54)/12,0)</x:f>
        <x:v>50000</x:v>
      </x:c>
      <x:c r="J18" s="20" t="n">
        <x:f>IF(J5&gt;0,(Assumptions!$B$53+Assumptions!$B$54)/12,0)</x:f>
        <x:v>50000</x:v>
      </x:c>
      <x:c r="K18" s="20" t="n">
        <x:f>IF(K5&gt;0,(Assumptions!$B$53+Assumptions!$B$54)/12,0)</x:f>
        <x:v>50000</x:v>
      </x:c>
      <x:c r="L18" s="20" t="n">
        <x:f>IF(L5&gt;0,(Assumptions!$B$53+Assumptions!$B$54)/12,0)</x:f>
        <x:v>50000</x:v>
      </x:c>
      <x:c r="M18" s="20" t="n">
        <x:f>IF(M5&gt;0,(Assumptions!$B$53+Assumptions!$B$54)/12,0)</x:f>
        <x:v>50000</x:v>
      </x:c>
      <x:c r="N18" s="20" t="n">
        <x:f>IF(N5&gt;0,(Assumptions!$B$53+Assumptions!$B$54)/12,0)</x:f>
        <x:v>50000</x:v>
      </x:c>
      <x:c r="O18" s="20" t="n">
        <x:f>IF(O5&gt;0,(Assumptions!$B$53+Assumptions!$B$54)/12,0)</x:f>
        <x:v>50000</x:v>
      </x:c>
      <x:c r="P18" s="20" t="n">
        <x:f>IF(P5&gt;0,(Assumptions!$B$53+Assumptions!$B$54)/12,0)</x:f>
        <x:v>50000</x:v>
      </x:c>
      <x:c r="Q18" s="20" t="n">
        <x:f>IF(Q5&gt;0,(Assumptions!$B$53+Assumptions!$B$54)/12,0)</x:f>
        <x:v>50000</x:v>
      </x:c>
      <x:c r="R18" s="20" t="n">
        <x:f>IF(R5&gt;0,(Assumptions!$B$53+Assumptions!$B$54)/12,0)</x:f>
        <x:v>50000</x:v>
      </x:c>
      <x:c r="S18" s="20" t="n">
        <x:f>IF(S5&gt;0,(Assumptions!$B$53+Assumptions!$B$54)/12,0)</x:f>
        <x:v>50000</x:v>
      </x:c>
      <x:c r="T18" s="20" t="n">
        <x:f>IF(T5&gt;0,(Assumptions!$B$53+Assumptions!$B$54)/12,0)</x:f>
        <x:v>50000</x:v>
      </x:c>
      <x:c r="U18" s="20" t="n">
        <x:f>IF(U5&gt;0,(Assumptions!$B$53+Assumptions!$B$54)/12,0)</x:f>
        <x:v>50000</x:v>
      </x:c>
      <x:c r="V18" s="20" t="n">
        <x:f>IF(V5&gt;0,(Assumptions!$B$53+Assumptions!$B$54)/12,0)</x:f>
        <x:v>50000</x:v>
      </x:c>
      <x:c r="W18" s="20" t="n">
        <x:f>IF(W5&gt;0,(Assumptions!$B$53+Assumptions!$B$54)/12,0)</x:f>
        <x:v>50000</x:v>
      </x:c>
      <x:c r="X18" s="20" t="n">
        <x:f>IF(X5&gt;0,(Assumptions!$B$53+Assumptions!$B$54)/12,0)</x:f>
        <x:v>50000</x:v>
      </x:c>
      <x:c r="Y18" s="20" t="n">
        <x:f>IF(Y5&gt;0,(Assumptions!$B$53+Assumptions!$B$54)/12,0)</x:f>
        <x:v>50000</x:v>
      </x:c>
      <x:c r="Z18" s="20" t="n">
        <x:f>IF(Z5&gt;0,(Assumptions!$B$53+Assumptions!$B$54)/12,0)</x:f>
        <x:v>50000</x:v>
      </x:c>
      <x:c r="AA18" s="20" t="n">
        <x:f>IF(AA5&gt;0,(Assumptions!$B$53+Assumptions!$B$54)/12,0)</x:f>
        <x:v>50000</x:v>
      </x:c>
      <x:c r="AB18" s="20" t="n">
        <x:f>IF(AB5&gt;0,(Assumptions!$B$53+Assumptions!$B$54)/12,0)</x:f>
        <x:v>50000</x:v>
      </x:c>
      <x:c r="AC18" s="20" t="n">
        <x:f>IF(AC5&gt;0,(Assumptions!$B$53+Assumptions!$B$54)/12,0)</x:f>
        <x:v>50000</x:v>
      </x:c>
      <x:c r="AD18" s="20" t="n">
        <x:f>IF(AD5&gt;0,(Assumptions!$B$53+Assumptions!$B$54)/12,0)</x:f>
        <x:v>50000</x:v>
      </x:c>
      <x:c r="AE18" s="20" t="n">
        <x:f>IF(AE5&gt;0,(Assumptions!$B$53+Assumptions!$B$54)/12,0)</x:f>
        <x:v>50000</x:v>
      </x:c>
      <x:c r="AF18" s="20" t="n">
        <x:f>IF(AF5&gt;0,(Assumptions!$B$53+Assumptions!$B$54)/12,0)</x:f>
        <x:v>50000</x:v>
      </x:c>
      <x:c r="AG18" s="20" t="n">
        <x:f>IF(AG5&gt;0,(Assumptions!$B$53+Assumptions!$B$54)/12,0)</x:f>
        <x:v>50000</x:v>
      </x:c>
      <x:c r="AH18" s="20" t="n">
        <x:f>IF(AH5&gt;0,(Assumptions!$B$53+Assumptions!$B$54)/12,0)</x:f>
        <x:v>50000</x:v>
      </x:c>
      <x:c r="AI18" s="20" t="n">
        <x:f>IF(AI5&gt;0,(Assumptions!$B$53+Assumptions!$B$54)/12,0)</x:f>
        <x:v>50000</x:v>
      </x:c>
      <x:c r="AJ18" s="20" t="n">
        <x:f>IF(AJ5&gt;0,(Assumptions!$B$53+Assumptions!$B$54)/12,0)</x:f>
        <x:v>50000</x:v>
      </x:c>
      <x:c r="AK18" s="20" t="n">
        <x:f>IF(AK5&gt;0,(Assumptions!$B$53+Assumptions!$B$54)/12,0)</x:f>
        <x:v>50000</x:v>
      </x:c>
    </x:row>
    <x:row r="19">
      <x:c r="A19" s="7" t="inlineStr">
        <x:is>
          <x:t xml:space="preserve">Client-dedicated team</x:t>
        </x:is>
      </x:c>
      <x:c r="B19" s="20" t="n">
        <x:f>IF(B5&gt;0,Assumptions!$B$56*Assumptions!$B$72+(Assumptions!$B$57+B5/Assumptions!$B$58)*Assumptions!$B$83+MAX(1,B5/Assumptions!$B$59)*Assumptions!$B$85,0)</x:f>
        <x:v>0</x:v>
      </x:c>
      <x:c r="C19" s="20" t="n">
        <x:f>IF(C5&gt;0,Assumptions!$B$56*Assumptions!$B$72+(Assumptions!$B$57+C5/Assumptions!$B$58)*Assumptions!$B$83+MAX(1,C5/Assumptions!$B$59)*Assumptions!$B$85,0)</x:f>
        <x:v>0</x:v>
      </x:c>
      <x:c r="D19" s="20" t="n">
        <x:f>IF(D5&gt;0,Assumptions!$B$56*Assumptions!$B$72+(Assumptions!$B$57+D5/Assumptions!$B$58)*Assumptions!$B$83+MAX(1,D5/Assumptions!$B$59)*Assumptions!$B$85,0)</x:f>
        <x:v>0</x:v>
      </x:c>
      <x:c r="E19" s="20" t="n">
        <x:f>IF(E5&gt;0,Assumptions!$B$56*Assumptions!$B$72+(Assumptions!$B$57+E5/Assumptions!$B$58)*Assumptions!$B$83+MAX(1,E5/Assumptions!$B$59)*Assumptions!$B$85,0)</x:f>
        <x:v>288000</x:v>
      </x:c>
      <x:c r="F19" s="20" t="n">
        <x:f>IF(F5&gt;0,Assumptions!$B$56*Assumptions!$B$72+(Assumptions!$B$57+F5/Assumptions!$B$58)*Assumptions!$B$83+MAX(1,F5/Assumptions!$B$59)*Assumptions!$B$85,0)</x:f>
        <x:v>288000</x:v>
      </x:c>
      <x:c r="G19" s="20" t="n">
        <x:f>IF(G5&gt;0,Assumptions!$B$56*Assumptions!$B$72+(Assumptions!$B$57+G5/Assumptions!$B$58)*Assumptions!$B$83+MAX(1,G5/Assumptions!$B$59)*Assumptions!$B$85,0)</x:f>
        <x:v>288000</x:v>
      </x:c>
      <x:c r="H19" s="20" t="n">
        <x:f>IF(H5&gt;0,Assumptions!$B$56*Assumptions!$B$72+(Assumptions!$B$57+H5/Assumptions!$B$58)*Assumptions!$B$83+MAX(1,H5/Assumptions!$B$59)*Assumptions!$B$85,0)</x:f>
        <x:v>327800</x:v>
      </x:c>
      <x:c r="I19" s="20" t="n">
        <x:f>IF(I5&gt;0,Assumptions!$B$56*Assumptions!$B$72+(Assumptions!$B$57+I5/Assumptions!$B$58)*Assumptions!$B$83+MAX(1,I5/Assumptions!$B$59)*Assumptions!$B$85,0)</x:f>
        <x:v>327800</x:v>
      </x:c>
      <x:c r="J19" s="20" t="n">
        <x:f>IF(J5&gt;0,Assumptions!$B$56*Assumptions!$B$72+(Assumptions!$B$57+J5/Assumptions!$B$58)*Assumptions!$B$83+MAX(1,J5/Assumptions!$B$59)*Assumptions!$B$85,0)</x:f>
        <x:v>327800</x:v>
      </x:c>
      <x:c r="K19" s="20" t="n">
        <x:f>IF(K5&gt;0,Assumptions!$B$56*Assumptions!$B$72+(Assumptions!$B$57+K5/Assumptions!$B$58)*Assumptions!$B$83+MAX(1,K5/Assumptions!$B$59)*Assumptions!$B$85,0)</x:f>
        <x:v>327800</x:v>
      </x:c>
      <x:c r="L19" s="20" t="n">
        <x:f>IF(L5&gt;0,Assumptions!$B$56*Assumptions!$B$72+(Assumptions!$B$57+L5/Assumptions!$B$58)*Assumptions!$B$83+MAX(1,L5/Assumptions!$B$59)*Assumptions!$B$85,0)</x:f>
        <x:v>327800</x:v>
      </x:c>
      <x:c r="M19" s="20" t="n">
        <x:f>IF(M5&gt;0,Assumptions!$B$56*Assumptions!$B$72+(Assumptions!$B$57+M5/Assumptions!$B$58)*Assumptions!$B$83+MAX(1,M5/Assumptions!$B$59)*Assumptions!$B$85,0)</x:f>
        <x:v>327800</x:v>
      </x:c>
      <x:c r="N19" s="20" t="n">
        <x:f>IF(N5&gt;0,Assumptions!$B$56*Assumptions!$B$72+(Assumptions!$B$57+N5/Assumptions!$B$58)*Assumptions!$B$83+MAX(1,N5/Assumptions!$B$59)*Assumptions!$B$85,0)</x:f>
        <x:v>413000</x:v>
      </x:c>
      <x:c r="O19" s="20" t="n">
        <x:f>IF(O5&gt;0,Assumptions!$B$56*Assumptions!$B$72+(Assumptions!$B$57+O5/Assumptions!$B$58)*Assumptions!$B$83+MAX(1,O5/Assumptions!$B$59)*Assumptions!$B$85,0)</x:f>
        <x:v>413000</x:v>
      </x:c>
      <x:c r="P19" s="20" t="n">
        <x:f>IF(P5&gt;0,Assumptions!$B$56*Assumptions!$B$72+(Assumptions!$B$57+P5/Assumptions!$B$58)*Assumptions!$B$83+MAX(1,P5/Assumptions!$B$59)*Assumptions!$B$85,0)</x:f>
        <x:v>413000</x:v>
      </x:c>
      <x:c r="Q19" s="20" t="n">
        <x:f>IF(Q5&gt;0,Assumptions!$B$56*Assumptions!$B$72+(Assumptions!$B$57+Q5/Assumptions!$B$58)*Assumptions!$B$83+MAX(1,Q5/Assumptions!$B$59)*Assumptions!$B$85,0)</x:f>
        <x:v>413000</x:v>
      </x:c>
      <x:c r="R19" s="20" t="n">
        <x:f>IF(R5&gt;0,Assumptions!$B$56*Assumptions!$B$72+(Assumptions!$B$57+R5/Assumptions!$B$58)*Assumptions!$B$83+MAX(1,R5/Assumptions!$B$59)*Assumptions!$B$85,0)</x:f>
        <x:v>413000</x:v>
      </x:c>
      <x:c r="S19" s="20" t="n">
        <x:f>IF(S5&gt;0,Assumptions!$B$56*Assumptions!$B$72+(Assumptions!$B$57+S5/Assumptions!$B$58)*Assumptions!$B$83+MAX(1,S5/Assumptions!$B$59)*Assumptions!$B$85,0)</x:f>
        <x:v>413000</x:v>
      </x:c>
      <x:c r="T19" s="20" t="n">
        <x:f>IF(T5&gt;0,Assumptions!$B$56*Assumptions!$B$72+(Assumptions!$B$57+T5/Assumptions!$B$58)*Assumptions!$B$83+MAX(1,T5/Assumptions!$B$59)*Assumptions!$B$85,0)</x:f>
        <x:v>413000</x:v>
      </x:c>
      <x:c r="U19" s="20" t="n">
        <x:f>IF(U5&gt;0,Assumptions!$B$56*Assumptions!$B$72+(Assumptions!$B$57+U5/Assumptions!$B$58)*Assumptions!$B$83+MAX(1,U5/Assumptions!$B$59)*Assumptions!$B$85,0)</x:f>
        <x:v>413000</x:v>
      </x:c>
      <x:c r="V19" s="20" t="n">
        <x:f>IF(V5&gt;0,Assumptions!$B$56*Assumptions!$B$72+(Assumptions!$B$57+V5/Assumptions!$B$58)*Assumptions!$B$83+MAX(1,V5/Assumptions!$B$59)*Assumptions!$B$85,0)</x:f>
        <x:v>413000</x:v>
      </x:c>
      <x:c r="W19" s="20" t="n">
        <x:f>IF(W5&gt;0,Assumptions!$B$56*Assumptions!$B$72+(Assumptions!$B$57+W5/Assumptions!$B$58)*Assumptions!$B$83+MAX(1,W5/Assumptions!$B$59)*Assumptions!$B$85,0)</x:f>
        <x:v>413000</x:v>
      </x:c>
      <x:c r="X19" s="20" t="n">
        <x:f>IF(X5&gt;0,Assumptions!$B$56*Assumptions!$B$72+(Assumptions!$B$57+X5/Assumptions!$B$58)*Assumptions!$B$83+MAX(1,X5/Assumptions!$B$59)*Assumptions!$B$85,0)</x:f>
        <x:v>413000</x:v>
      </x:c>
      <x:c r="Y19" s="20" t="n">
        <x:f>IF(Y5&gt;0,Assumptions!$B$56*Assumptions!$B$72+(Assumptions!$B$57+Y5/Assumptions!$B$58)*Assumptions!$B$83+MAX(1,Y5/Assumptions!$B$59)*Assumptions!$B$85,0)</x:f>
        <x:v>413000</x:v>
      </x:c>
      <x:c r="Z19" s="20" t="n">
        <x:f>IF(Z5&gt;0,Assumptions!$B$56*Assumptions!$B$72+(Assumptions!$B$57+Z5/Assumptions!$B$58)*Assumptions!$B$83+MAX(1,Z5/Assumptions!$B$59)*Assumptions!$B$85,0)</x:f>
        <x:v>413000</x:v>
      </x:c>
      <x:c r="AA19" s="20" t="n">
        <x:f>IF(AA5&gt;0,Assumptions!$B$56*Assumptions!$B$72+(Assumptions!$B$57+AA5/Assumptions!$B$58)*Assumptions!$B$83+MAX(1,AA5/Assumptions!$B$59)*Assumptions!$B$85,0)</x:f>
        <x:v>413000</x:v>
      </x:c>
      <x:c r="AB19" s="20" t="n">
        <x:f>IF(AB5&gt;0,Assumptions!$B$56*Assumptions!$B$72+(Assumptions!$B$57+AB5/Assumptions!$B$58)*Assumptions!$B$83+MAX(1,AB5/Assumptions!$B$59)*Assumptions!$B$85,0)</x:f>
        <x:v>413000</x:v>
      </x:c>
      <x:c r="AC19" s="20" t="n">
        <x:f>IF(AC5&gt;0,Assumptions!$B$56*Assumptions!$B$72+(Assumptions!$B$57+AC5/Assumptions!$B$58)*Assumptions!$B$83+MAX(1,AC5/Assumptions!$B$59)*Assumptions!$B$85,0)</x:f>
        <x:v>413000</x:v>
      </x:c>
      <x:c r="AD19" s="20" t="n">
        <x:f>IF(AD5&gt;0,Assumptions!$B$56*Assumptions!$B$72+(Assumptions!$B$57+AD5/Assumptions!$B$58)*Assumptions!$B$83+MAX(1,AD5/Assumptions!$B$59)*Assumptions!$B$85,0)</x:f>
        <x:v>413000</x:v>
      </x:c>
      <x:c r="AE19" s="20" t="n">
        <x:f>IF(AE5&gt;0,Assumptions!$B$56*Assumptions!$B$72+(Assumptions!$B$57+AE5/Assumptions!$B$58)*Assumptions!$B$83+MAX(1,AE5/Assumptions!$B$59)*Assumptions!$B$85,0)</x:f>
        <x:v>413000</x:v>
      </x:c>
      <x:c r="AF19" s="20" t="n">
        <x:f>IF(AF5&gt;0,Assumptions!$B$56*Assumptions!$B$72+(Assumptions!$B$57+AF5/Assumptions!$B$58)*Assumptions!$B$83+MAX(1,AF5/Assumptions!$B$59)*Assumptions!$B$85,0)</x:f>
        <x:v>413000</x:v>
      </x:c>
      <x:c r="AG19" s="20" t="n">
        <x:f>IF(AG5&gt;0,Assumptions!$B$56*Assumptions!$B$72+(Assumptions!$B$57+AG5/Assumptions!$B$58)*Assumptions!$B$83+MAX(1,AG5/Assumptions!$B$59)*Assumptions!$B$85,0)</x:f>
        <x:v>413000</x:v>
      </x:c>
      <x:c r="AH19" s="20" t="n">
        <x:f>IF(AH5&gt;0,Assumptions!$B$56*Assumptions!$B$72+(Assumptions!$B$57+AH5/Assumptions!$B$58)*Assumptions!$B$83+MAX(1,AH5/Assumptions!$B$59)*Assumptions!$B$85,0)</x:f>
        <x:v>413000</x:v>
      </x:c>
      <x:c r="AI19" s="20" t="n">
        <x:f>IF(AI5&gt;0,Assumptions!$B$56*Assumptions!$B$72+(Assumptions!$B$57+AI5/Assumptions!$B$58)*Assumptions!$B$83+MAX(1,AI5/Assumptions!$B$59)*Assumptions!$B$85,0)</x:f>
        <x:v>413000</x:v>
      </x:c>
      <x:c r="AJ19" s="20" t="n">
        <x:f>IF(AJ5&gt;0,Assumptions!$B$56*Assumptions!$B$72+(Assumptions!$B$57+AJ5/Assumptions!$B$58)*Assumptions!$B$83+MAX(1,AJ5/Assumptions!$B$59)*Assumptions!$B$85,0)</x:f>
        <x:v>413000</x:v>
      </x:c>
      <x:c r="AK19" s="20" t="n">
        <x:f>IF(AK5&gt;0,Assumptions!$B$56*Assumptions!$B$72+(Assumptions!$B$57+AK5/Assumptions!$B$58)*Assumptions!$B$83+MAX(1,AK5/Assumptions!$B$59)*Assumptions!$B$85,0)</x:f>
        <x:v>413000</x:v>
      </x:c>
    </x:row>
    <x:row r="20">
      <x:c r="A20" s="7" t="inlineStr">
        <x:is>
          <x:t xml:space="preserve">Shared platform team allocation</x:t>
        </x:is>
      </x:c>
      <x:c r="B20" s="20" t="n">
        <x:f>IF(B5&gt;0,IF(B5&gt;20000,Assumptions!$B$61,Assumptions!$B$60)*Assumptions!$B$74,0)</x:f>
        <x:v>0</x:v>
      </x:c>
      <x:c r="C20" s="20" t="n">
        <x:f>IF(C5&gt;0,IF(C5&gt;20000,Assumptions!$B$61,Assumptions!$B$60)*Assumptions!$B$74,0)</x:f>
        <x:v>0</x:v>
      </x:c>
      <x:c r="D20" s="20" t="n">
        <x:f>IF(D5&gt;0,IF(D5&gt;20000,Assumptions!$B$61,Assumptions!$B$60)*Assumptions!$B$74,0)</x:f>
        <x:v>0</x:v>
      </x:c>
      <x:c r="E20" s="20" t="n">
        <x:f>IF(E5&gt;0,IF(E5&gt;20000,Assumptions!$B$61,Assumptions!$B$60)*Assumptions!$B$74,0)</x:f>
        <x:v>240000</x:v>
      </x:c>
      <x:c r="F20" s="20" t="n">
        <x:f>IF(F5&gt;0,IF(F5&gt;20000,Assumptions!$B$61,Assumptions!$B$60)*Assumptions!$B$74,0)</x:f>
        <x:v>240000</x:v>
      </x:c>
      <x:c r="G20" s="20" t="n">
        <x:f>IF(G5&gt;0,IF(G5&gt;20000,Assumptions!$B$61,Assumptions!$B$60)*Assumptions!$B$74,0)</x:f>
        <x:v>240000</x:v>
      </x:c>
      <x:c r="H20" s="20" t="n">
        <x:f>IF(H5&gt;0,IF(H5&gt;20000,Assumptions!$B$61,Assumptions!$B$60)*Assumptions!$B$74,0)</x:f>
        <x:v>320000</x:v>
      </x:c>
      <x:c r="I20" s="20" t="n">
        <x:f>IF(I5&gt;0,IF(I5&gt;20000,Assumptions!$B$61,Assumptions!$B$60)*Assumptions!$B$74,0)</x:f>
        <x:v>320000</x:v>
      </x:c>
      <x:c r="J20" s="20" t="n">
        <x:f>IF(J5&gt;0,IF(J5&gt;20000,Assumptions!$B$61,Assumptions!$B$60)*Assumptions!$B$74,0)</x:f>
        <x:v>320000</x:v>
      </x:c>
      <x:c r="K20" s="20" t="n">
        <x:f>IF(K5&gt;0,IF(K5&gt;20000,Assumptions!$B$61,Assumptions!$B$60)*Assumptions!$B$74,0)</x:f>
        <x:v>320000</x:v>
      </x:c>
      <x:c r="L20" s="20" t="n">
        <x:f>IF(L5&gt;0,IF(L5&gt;20000,Assumptions!$B$61,Assumptions!$B$60)*Assumptions!$B$74,0)</x:f>
        <x:v>320000</x:v>
      </x:c>
      <x:c r="M20" s="20" t="n">
        <x:f>IF(M5&gt;0,IF(M5&gt;20000,Assumptions!$B$61,Assumptions!$B$60)*Assumptions!$B$74,0)</x:f>
        <x:v>320000</x:v>
      </x:c>
      <x:c r="N20" s="20" t="n">
        <x:f>IF(N5&gt;0,IF(N5&gt;20000,Assumptions!$B$61,Assumptions!$B$60)*Assumptions!$B$74,0)</x:f>
        <x:v>320000</x:v>
      </x:c>
      <x:c r="O20" s="20" t="n">
        <x:f>IF(O5&gt;0,IF(O5&gt;20000,Assumptions!$B$61,Assumptions!$B$60)*Assumptions!$B$74,0)</x:f>
        <x:v>320000</x:v>
      </x:c>
      <x:c r="P20" s="20" t="n">
        <x:f>IF(P5&gt;0,IF(P5&gt;20000,Assumptions!$B$61,Assumptions!$B$60)*Assumptions!$B$74,0)</x:f>
        <x:v>320000</x:v>
      </x:c>
      <x:c r="Q20" s="20" t="n">
        <x:f>IF(Q5&gt;0,IF(Q5&gt;20000,Assumptions!$B$61,Assumptions!$B$60)*Assumptions!$B$74,0)</x:f>
        <x:v>320000</x:v>
      </x:c>
      <x:c r="R20" s="20" t="n">
        <x:f>IF(R5&gt;0,IF(R5&gt;20000,Assumptions!$B$61,Assumptions!$B$60)*Assumptions!$B$74,0)</x:f>
        <x:v>320000</x:v>
      </x:c>
      <x:c r="S20" s="20" t="n">
        <x:f>IF(S5&gt;0,IF(S5&gt;20000,Assumptions!$B$61,Assumptions!$B$60)*Assumptions!$B$74,0)</x:f>
        <x:v>320000</x:v>
      </x:c>
      <x:c r="T20" s="20" t="n">
        <x:f>IF(T5&gt;0,IF(T5&gt;20000,Assumptions!$B$61,Assumptions!$B$60)*Assumptions!$B$74,0)</x:f>
        <x:v>320000</x:v>
      </x:c>
      <x:c r="U20" s="20" t="n">
        <x:f>IF(U5&gt;0,IF(U5&gt;20000,Assumptions!$B$61,Assumptions!$B$60)*Assumptions!$B$74,0)</x:f>
        <x:v>320000</x:v>
      </x:c>
      <x:c r="V20" s="20" t="n">
        <x:f>IF(V5&gt;0,IF(V5&gt;20000,Assumptions!$B$61,Assumptions!$B$60)*Assumptions!$B$74,0)</x:f>
        <x:v>320000</x:v>
      </x:c>
      <x:c r="W20" s="20" t="n">
        <x:f>IF(W5&gt;0,IF(W5&gt;20000,Assumptions!$B$61,Assumptions!$B$60)*Assumptions!$B$74,0)</x:f>
        <x:v>320000</x:v>
      </x:c>
      <x:c r="X20" s="20" t="n">
        <x:f>IF(X5&gt;0,IF(X5&gt;20000,Assumptions!$B$61,Assumptions!$B$60)*Assumptions!$B$74,0)</x:f>
        <x:v>320000</x:v>
      </x:c>
      <x:c r="Y20" s="20" t="n">
        <x:f>IF(Y5&gt;0,IF(Y5&gt;20000,Assumptions!$B$61,Assumptions!$B$60)*Assumptions!$B$74,0)</x:f>
        <x:v>320000</x:v>
      </x:c>
      <x:c r="Z20" s="20" t="n">
        <x:f>IF(Z5&gt;0,IF(Z5&gt;20000,Assumptions!$B$61,Assumptions!$B$60)*Assumptions!$B$74,0)</x:f>
        <x:v>320000</x:v>
      </x:c>
      <x:c r="AA20" s="20" t="n">
        <x:f>IF(AA5&gt;0,IF(AA5&gt;20000,Assumptions!$B$61,Assumptions!$B$60)*Assumptions!$B$74,0)</x:f>
        <x:v>320000</x:v>
      </x:c>
      <x:c r="AB20" s="20" t="n">
        <x:f>IF(AB5&gt;0,IF(AB5&gt;20000,Assumptions!$B$61,Assumptions!$B$60)*Assumptions!$B$74,0)</x:f>
        <x:v>320000</x:v>
      </x:c>
      <x:c r="AC20" s="20" t="n">
        <x:f>IF(AC5&gt;0,IF(AC5&gt;20000,Assumptions!$B$61,Assumptions!$B$60)*Assumptions!$B$74,0)</x:f>
        <x:v>320000</x:v>
      </x:c>
      <x:c r="AD20" s="20" t="n">
        <x:f>IF(AD5&gt;0,IF(AD5&gt;20000,Assumptions!$B$61,Assumptions!$B$60)*Assumptions!$B$74,0)</x:f>
        <x:v>320000</x:v>
      </x:c>
      <x:c r="AE20" s="20" t="n">
        <x:f>IF(AE5&gt;0,IF(AE5&gt;20000,Assumptions!$B$61,Assumptions!$B$60)*Assumptions!$B$74,0)</x:f>
        <x:v>320000</x:v>
      </x:c>
      <x:c r="AF20" s="20" t="n">
        <x:f>IF(AF5&gt;0,IF(AF5&gt;20000,Assumptions!$B$61,Assumptions!$B$60)*Assumptions!$B$74,0)</x:f>
        <x:v>320000</x:v>
      </x:c>
      <x:c r="AG20" s="20" t="n">
        <x:f>IF(AG5&gt;0,IF(AG5&gt;20000,Assumptions!$B$61,Assumptions!$B$60)*Assumptions!$B$74,0)</x:f>
        <x:v>320000</x:v>
      </x:c>
      <x:c r="AH20" s="20" t="n">
        <x:f>IF(AH5&gt;0,IF(AH5&gt;20000,Assumptions!$B$61,Assumptions!$B$60)*Assumptions!$B$74,0)</x:f>
        <x:v>320000</x:v>
      </x:c>
      <x:c r="AI20" s="20" t="n">
        <x:f>IF(AI5&gt;0,IF(AI5&gt;20000,Assumptions!$B$61,Assumptions!$B$60)*Assumptions!$B$74,0)</x:f>
        <x:v>320000</x:v>
      </x:c>
      <x:c r="AJ20" s="20" t="n">
        <x:f>IF(AJ5&gt;0,IF(AJ5&gt;20000,Assumptions!$B$61,Assumptions!$B$60)*Assumptions!$B$74,0)</x:f>
        <x:v>320000</x:v>
      </x:c>
      <x:c r="AK20" s="20" t="n">
        <x:f>IF(AK5&gt;0,IF(AK5&gt;20000,Assumptions!$B$61,Assumptions!$B$60)*Assumptions!$B$74,0)</x:f>
        <x:v>320000</x:v>
      </x:c>
    </x:row>
    <x:row r="21">
      <x:c r="A21" s="18" t="inlineStr">
        <x:is>
          <x:t xml:space="preserve">Total run cost</x:t>
        </x:is>
      </x:c>
      <x:c r="B21" s="22" t="n">
        <x:f>B13+SUM(B14:B20)</x:f>
        <x:v>0</x:v>
      </x:c>
      <x:c r="C21" s="22" t="n">
        <x:f>C13+SUM(C14:C20)</x:f>
        <x:v>0</x:v>
      </x:c>
      <x:c r="D21" s="22" t="n">
        <x:f>D13+SUM(D14:D20)</x:f>
        <x:v>0</x:v>
      </x:c>
      <x:c r="E21" s="22" t="n">
        <x:f>E13+SUM(E14:E20)</x:f>
        <x:v>743891.9648</x:v>
      </x:c>
      <x:c r="F21" s="22" t="n">
        <x:f>F13+SUM(F14:F20)</x:f>
        <x:v>743891.9648</x:v>
      </x:c>
      <x:c r="G21" s="22" t="n">
        <x:f>G13+SUM(G14:G20)</x:f>
        <x:v>743891.9648</x:v>
      </x:c>
      <x:c r="H21" s="22" t="n">
        <x:f>H13+SUM(H14:H20)</x:f>
        <x:v>938169.4208</x:v>
      </x:c>
      <x:c r="I21" s="22" t="n">
        <x:f>I13+SUM(I14:I20)</x:f>
        <x:v>938169.4208</x:v>
      </x:c>
      <x:c r="J21" s="22" t="n">
        <x:f>J13+SUM(J14:J20)</x:f>
        <x:v>938169.4208</x:v>
      </x:c>
      <x:c r="K21" s="22" t="n">
        <x:f>K13+SUM(K14:K20)</x:f>
        <x:v>938169.4208</x:v>
      </x:c>
      <x:c r="L21" s="22" t="n">
        <x:f>L13+SUM(L14:L20)</x:f>
        <x:v>938169.4208</x:v>
      </x:c>
      <x:c r="M21" s="22" t="n">
        <x:f>M13+SUM(M14:M20)</x:f>
        <x:v>938169.4208</x:v>
      </x:c>
      <x:c r="N21" s="22" t="n">
        <x:f>N13+SUM(N14:N20)</x:f>
        <x:v>1112742.368</x:v>
      </x:c>
      <x:c r="O21" s="22" t="n">
        <x:f>O13+SUM(O14:O20)</x:f>
        <x:v>1112742.368</x:v>
      </x:c>
      <x:c r="P21" s="22" t="n">
        <x:f>P13+SUM(P14:P20)</x:f>
        <x:v>1112742.368</x:v>
      </x:c>
      <x:c r="Q21" s="22" t="n">
        <x:f>Q13+SUM(Q14:Q20)</x:f>
        <x:v>1112742.368</x:v>
      </x:c>
      <x:c r="R21" s="22" t="n">
        <x:f>R13+SUM(R14:R20)</x:f>
        <x:v>1112742.368</x:v>
      </x:c>
      <x:c r="S21" s="22" t="n">
        <x:f>S13+SUM(S14:S20)</x:f>
        <x:v>1112742.368</x:v>
      </x:c>
      <x:c r="T21" s="22" t="n">
        <x:f>T13+SUM(T14:T20)</x:f>
        <x:v>1112742.368</x:v>
      </x:c>
      <x:c r="U21" s="22" t="n">
        <x:f>U13+SUM(U14:U20)</x:f>
        <x:v>1112742.368</x:v>
      </x:c>
      <x:c r="V21" s="22" t="n">
        <x:f>V13+SUM(V14:V20)</x:f>
        <x:v>1112742.368</x:v>
      </x:c>
      <x:c r="W21" s="22" t="n">
        <x:f>W13+SUM(W14:W20)</x:f>
        <x:v>1112742.368</x:v>
      </x:c>
      <x:c r="X21" s="22" t="n">
        <x:f>X13+SUM(X14:X20)</x:f>
        <x:v>1112742.368</x:v>
      </x:c>
      <x:c r="Y21" s="22" t="n">
        <x:f>Y13+SUM(Y14:Y20)</x:f>
        <x:v>1112742.368</x:v>
      </x:c>
      <x:c r="Z21" s="22" t="n">
        <x:f>Z13+SUM(Z14:Z20)</x:f>
        <x:v>1112742.368</x:v>
      </x:c>
      <x:c r="AA21" s="22" t="n">
        <x:f>AA13+SUM(AA14:AA20)</x:f>
        <x:v>1112742.368</x:v>
      </x:c>
      <x:c r="AB21" s="22" t="n">
        <x:f>AB13+SUM(AB14:AB20)</x:f>
        <x:v>1112742.368</x:v>
      </x:c>
      <x:c r="AC21" s="22" t="n">
        <x:f>AC13+SUM(AC14:AC20)</x:f>
        <x:v>1112742.368</x:v>
      </x:c>
      <x:c r="AD21" s="22" t="n">
        <x:f>AD13+SUM(AD14:AD20)</x:f>
        <x:v>1112742.368</x:v>
      </x:c>
      <x:c r="AE21" s="22" t="n">
        <x:f>AE13+SUM(AE14:AE20)</x:f>
        <x:v>1112742.368</x:v>
      </x:c>
      <x:c r="AF21" s="22" t="n">
        <x:f>AF13+SUM(AF14:AF20)</x:f>
        <x:v>1112742.368</x:v>
      </x:c>
      <x:c r="AG21" s="22" t="n">
        <x:f>AG13+SUM(AG14:AG20)</x:f>
        <x:v>1112742.368</x:v>
      </x:c>
      <x:c r="AH21" s="22" t="n">
        <x:f>AH13+SUM(AH14:AH20)</x:f>
        <x:v>1112742.368</x:v>
      </x:c>
      <x:c r="AI21" s="22" t="n">
        <x:f>AI13+SUM(AI14:AI20)</x:f>
        <x:v>1112742.368</x:v>
      </x:c>
      <x:c r="AJ21" s="22" t="n">
        <x:f>AJ13+SUM(AJ14:AJ20)</x:f>
        <x:v>1112742.368</x:v>
      </x:c>
      <x:c r="AK21" s="22" t="n">
        <x:f>AK13+SUM(AK14:AK20)</x:f>
        <x:v>1112742.368</x:v>
      </x:c>
    </x:row>
    <x:row r="22">
      <x:c r="A22" s="7" t="inlineStr">
        <x:is>
          <x:t xml:space="preserve">Run cost per enrolled employee</x:t>
        </x:is>
      </x:c>
      <x:c r="B22" s="19" t="n">
        <x:f>IF(B5&gt;0,B21/B5,0)</x:f>
        <x:v>0</x:v>
      </x:c>
      <x:c r="C22" s="19" t="n">
        <x:f>IF(C5&gt;0,C21/C5,0)</x:f>
        <x:v>0</x:v>
      </x:c>
      <x:c r="D22" s="19" t="n">
        <x:f>IF(D5&gt;0,D21/D5,0)</x:f>
        <x:v>0</x:v>
      </x:c>
      <x:c r="E22" s="19" t="n">
        <x:f>IF(E5&gt;0,E21/E5,0)</x:f>
        <x:v>61.990997066666665</x:v>
      </x:c>
      <x:c r="F22" s="19" t="n">
        <x:f>IF(F5&gt;0,F21/F5,0)</x:f>
        <x:v>61.990997066666665</x:v>
      </x:c>
      <x:c r="G22" s="19" t="n">
        <x:f>IF(G5&gt;0,G21/G5,0)</x:f>
        <x:v>61.990997066666665</x:v>
      </x:c>
      <x:c r="H22" s="19" t="n">
        <x:f>IF(H5&gt;0,H21/H5,0)</x:f>
        <x:v>34.74701558518518</x:v>
      </x:c>
      <x:c r="I22" s="19" t="n">
        <x:f>IF(I5&gt;0,I21/I5,0)</x:f>
        <x:v>34.74701558518518</x:v>
      </x:c>
      <x:c r="J22" s="19" t="n">
        <x:f>IF(J5&gt;0,J21/J5,0)</x:f>
        <x:v>34.74701558518518</x:v>
      </x:c>
      <x:c r="K22" s="19" t="n">
        <x:f>IF(K5&gt;0,K21/K5,0)</x:f>
        <x:v>34.74701558518518</x:v>
      </x:c>
      <x:c r="L22" s="19" t="n">
        <x:f>IF(L5&gt;0,L21/L5,0)</x:f>
        <x:v>34.74701558518518</x:v>
      </x:c>
      <x:c r="M22" s="19" t="n">
        <x:f>IF(M5&gt;0,M21/M5,0)</x:f>
        <x:v>34.74701558518518</x:v>
      </x:c>
      <x:c r="N22" s="19" t="n">
        <x:f>IF(N5&gt;0,N21/N5,0)</x:f>
        <x:v>24.72760817777778</x:v>
      </x:c>
      <x:c r="O22" s="19" t="n">
        <x:f>IF(O5&gt;0,O21/O5,0)</x:f>
        <x:v>24.72760817777778</x:v>
      </x:c>
      <x:c r="P22" s="19" t="n">
        <x:f>IF(P5&gt;0,P21/P5,0)</x:f>
        <x:v>24.72760817777778</x:v>
      </x:c>
      <x:c r="Q22" s="19" t="n">
        <x:f>IF(Q5&gt;0,Q21/Q5,0)</x:f>
        <x:v>24.72760817777778</x:v>
      </x:c>
      <x:c r="R22" s="19" t="n">
        <x:f>IF(R5&gt;0,R21/R5,0)</x:f>
        <x:v>24.72760817777778</x:v>
      </x:c>
      <x:c r="S22" s="19" t="n">
        <x:f>IF(S5&gt;0,S21/S5,0)</x:f>
        <x:v>24.72760817777778</x:v>
      </x:c>
      <x:c r="T22" s="19" t="n">
        <x:f>IF(T5&gt;0,T21/T5,0)</x:f>
        <x:v>24.72760817777778</x:v>
      </x:c>
      <x:c r="U22" s="19" t="n">
        <x:f>IF(U5&gt;0,U21/U5,0)</x:f>
        <x:v>24.72760817777778</x:v>
      </x:c>
      <x:c r="V22" s="19" t="n">
        <x:f>IF(V5&gt;0,V21/V5,0)</x:f>
        <x:v>24.72760817777778</x:v>
      </x:c>
      <x:c r="W22" s="19" t="n">
        <x:f>IF(W5&gt;0,W21/W5,0)</x:f>
        <x:v>24.72760817777778</x:v>
      </x:c>
      <x:c r="X22" s="19" t="n">
        <x:f>IF(X5&gt;0,X21/X5,0)</x:f>
        <x:v>24.72760817777778</x:v>
      </x:c>
      <x:c r="Y22" s="19" t="n">
        <x:f>IF(Y5&gt;0,Y21/Y5,0)</x:f>
        <x:v>24.72760817777778</x:v>
      </x:c>
      <x:c r="Z22" s="19" t="n">
        <x:f>IF(Z5&gt;0,Z21/Z5,0)</x:f>
        <x:v>24.72760817777778</x:v>
      </x:c>
      <x:c r="AA22" s="19" t="n">
        <x:f>IF(AA5&gt;0,AA21/AA5,0)</x:f>
        <x:v>24.72760817777778</x:v>
      </x:c>
      <x:c r="AB22" s="19" t="n">
        <x:f>IF(AB5&gt;0,AB21/AB5,0)</x:f>
        <x:v>24.72760817777778</x:v>
      </x:c>
      <x:c r="AC22" s="19" t="n">
        <x:f>IF(AC5&gt;0,AC21/AC5,0)</x:f>
        <x:v>24.72760817777778</x:v>
      </x:c>
      <x:c r="AD22" s="19" t="n">
        <x:f>IF(AD5&gt;0,AD21/AD5,0)</x:f>
        <x:v>24.72760817777778</x:v>
      </x:c>
      <x:c r="AE22" s="19" t="n">
        <x:f>IF(AE5&gt;0,AE21/AE5,0)</x:f>
        <x:v>24.72760817777778</x:v>
      </x:c>
      <x:c r="AF22" s="19" t="n">
        <x:f>IF(AF5&gt;0,AF21/AF5,0)</x:f>
        <x:v>24.72760817777778</x:v>
      </x:c>
      <x:c r="AG22" s="19" t="n">
        <x:f>IF(AG5&gt;0,AG21/AG5,0)</x:f>
        <x:v>24.72760817777778</x:v>
      </x:c>
      <x:c r="AH22" s="19" t="n">
        <x:f>IF(AH5&gt;0,AH21/AH5,0)</x:f>
        <x:v>24.72760817777778</x:v>
      </x:c>
      <x:c r="AI22" s="19" t="n">
        <x:f>IF(AI5&gt;0,AI21/AI5,0)</x:f>
        <x:v>24.72760817777778</x:v>
      </x:c>
      <x:c r="AJ22" s="19" t="n">
        <x:f>IF(AJ5&gt;0,AJ21/AJ5,0)</x:f>
        <x:v>24.72760817777778</x:v>
      </x:c>
      <x:c r="AK22" s="19" t="n">
        <x:f>IF(AK5&gt;0,AK21/AK5,0)</x:f>
        <x:v>24.72760817777778</x:v>
      </x:c>
    </x:row>
    <x:row r="23">
      <x:c r="A23" s="7" t="inlineStr">
        <x:is>
          <x:t xml:space="preserve">AI cost per coach active user</x:t>
        </x:is>
      </x:c>
      <x:c r="B23" s="19" t="n">
        <x:f>IF(B6&gt;0,B13/B6,0)</x:f>
        <x:v>0</x:v>
      </x:c>
      <x:c r="C23" s="19" t="n">
        <x:f>IF(C6&gt;0,C13/C6,0)</x:f>
        <x:v>0</x:v>
      </x:c>
      <x:c r="D23" s="19" t="n">
        <x:f>IF(D6&gt;0,D13/D6,0)</x:f>
        <x:v>0</x:v>
      </x:c>
      <x:c r="E23" s="19" t="n">
        <x:f>IF(E6&gt;0,E13/E6,0)</x:f>
        <x:v>7.1059194074074075</x:v>
      </x:c>
      <x:c r="F23" s="19" t="n">
        <x:f>IF(F6&gt;0,F13/F6,0)</x:f>
        <x:v>7.1059194074074075</x:v>
      </x:c>
      <x:c r="G23" s="19" t="n">
        <x:f>IF(G6&gt;0,G13/G6,0)</x:f>
        <x:v>7.1059194074074075</x:v>
      </x:c>
      <x:c r="H23" s="19" t="n">
        <x:f>IF(H6&gt;0,H13/H6,0)</x:f>
        <x:v>6.423820641975309</x:v>
      </x:c>
      <x:c r="I23" s="19" t="n">
        <x:f>IF(I6&gt;0,I13/I6,0)</x:f>
        <x:v>6.423820641975309</x:v>
      </x:c>
      <x:c r="J23" s="19" t="n">
        <x:f>IF(J6&gt;0,J13/J6,0)</x:f>
        <x:v>6.423820641975309</x:v>
      </x:c>
      <x:c r="K23" s="19" t="n">
        <x:f>IF(K6&gt;0,K13/K6,0)</x:f>
        <x:v>6.423820641975309</x:v>
      </x:c>
      <x:c r="L23" s="19" t="n">
        <x:f>IF(L6&gt;0,L13/L6,0)</x:f>
        <x:v>6.423820641975309</x:v>
      </x:c>
      <x:c r="M23" s="19" t="n">
        <x:f>IF(M6&gt;0,M13/M6,0)</x:f>
        <x:v>6.423820641975309</x:v>
      </x:c>
      <x:c r="N23" s="19" t="n">
        <x:f>IF(N6&gt;0,N13/N6,0)</x:f>
        <x:v>6.205549037037037</x:v>
      </x:c>
      <x:c r="O23" s="19" t="n">
        <x:f>IF(O6&gt;0,O13/O6,0)</x:f>
        <x:v>6.205549037037037</x:v>
      </x:c>
      <x:c r="P23" s="19" t="n">
        <x:f>IF(P6&gt;0,P13/P6,0)</x:f>
        <x:v>6.205549037037037</x:v>
      </x:c>
      <x:c r="Q23" s="19" t="n">
        <x:f>IF(Q6&gt;0,Q13/Q6,0)</x:f>
        <x:v>6.205549037037037</x:v>
      </x:c>
      <x:c r="R23" s="19" t="n">
        <x:f>IF(R6&gt;0,R13/R6,0)</x:f>
        <x:v>6.205549037037037</x:v>
      </x:c>
      <x:c r="S23" s="19" t="n">
        <x:f>IF(S6&gt;0,S13/S6,0)</x:f>
        <x:v>6.205549037037037</x:v>
      </x:c>
      <x:c r="T23" s="19" t="n">
        <x:f>IF(T6&gt;0,T13/T6,0)</x:f>
        <x:v>6.205549037037037</x:v>
      </x:c>
      <x:c r="U23" s="19" t="n">
        <x:f>IF(U6&gt;0,U13/U6,0)</x:f>
        <x:v>6.205549037037037</x:v>
      </x:c>
      <x:c r="V23" s="19" t="n">
        <x:f>IF(V6&gt;0,V13/V6,0)</x:f>
        <x:v>6.205549037037037</x:v>
      </x:c>
      <x:c r="W23" s="19" t="n">
        <x:f>IF(W6&gt;0,W13/W6,0)</x:f>
        <x:v>6.205549037037037</x:v>
      </x:c>
      <x:c r="X23" s="19" t="n">
        <x:f>IF(X6&gt;0,X13/X6,0)</x:f>
        <x:v>6.205549037037037</x:v>
      </x:c>
      <x:c r="Y23" s="19" t="n">
        <x:f>IF(Y6&gt;0,Y13/Y6,0)</x:f>
        <x:v>6.205549037037037</x:v>
      </x:c>
      <x:c r="Z23" s="19" t="n">
        <x:f>IF(Z6&gt;0,Z13/Z6,0)</x:f>
        <x:v>6.205549037037037</x:v>
      </x:c>
      <x:c r="AA23" s="19" t="n">
        <x:f>IF(AA6&gt;0,AA13/AA6,0)</x:f>
        <x:v>6.205549037037037</x:v>
      </x:c>
      <x:c r="AB23" s="19" t="n">
        <x:f>IF(AB6&gt;0,AB13/AB6,0)</x:f>
        <x:v>6.205549037037037</x:v>
      </x:c>
      <x:c r="AC23" s="19" t="n">
        <x:f>IF(AC6&gt;0,AC13/AC6,0)</x:f>
        <x:v>6.205549037037037</x:v>
      </x:c>
      <x:c r="AD23" s="19" t="n">
        <x:f>IF(AD6&gt;0,AD13/AD6,0)</x:f>
        <x:v>6.205549037037037</x:v>
      </x:c>
      <x:c r="AE23" s="19" t="n">
        <x:f>IF(AE6&gt;0,AE13/AE6,0)</x:f>
        <x:v>6.205549037037037</x:v>
      </x:c>
      <x:c r="AF23" s="19" t="n">
        <x:f>IF(AF6&gt;0,AF13/AF6,0)</x:f>
        <x:v>6.205549037037037</x:v>
      </x:c>
      <x:c r="AG23" s="19" t="n">
        <x:f>IF(AG6&gt;0,AG13/AG6,0)</x:f>
        <x:v>6.205549037037037</x:v>
      </x:c>
      <x:c r="AH23" s="19" t="n">
        <x:f>IF(AH6&gt;0,AH13/AH6,0)</x:f>
        <x:v>6.205549037037037</x:v>
      </x:c>
      <x:c r="AI23" s="19" t="n">
        <x:f>IF(AI6&gt;0,AI13/AI6,0)</x:f>
        <x:v>6.205549037037037</x:v>
      </x:c>
      <x:c r="AJ23" s="19" t="n">
        <x:f>IF(AJ6&gt;0,AJ13/AJ6,0)</x:f>
        <x:v>6.205549037037037</x:v>
      </x:c>
      <x:c r="AK23" s="19" t="n">
        <x:f>IF(AK6&gt;0,AK13/AK6,0)</x:f>
        <x:v>6.205549037037037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baseColWidth="8" defaultRowHeight="15"/>
  <x:cols>
    <x:col min="1" max="1" width="44" customWidth="1"/>
    <x:col min="2" max="2" width="16" customWidth="1"/>
    <x:col min="3" max="3" width="16" customWidth="1"/>
    <x:col min="4" max="4" width="16" customWidth="1"/>
    <x:col min="5" max="5" width="16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</x:cols>
  <x:sheetData>
    <x:row r="1">
      <x:c r="A1" s="1" t="inlineStr">
        <x:is>
          <x:t xml:space="preserve">Pricing and 3-year P&amp;L (IRIS view) and client spend</x:t>
        </x:is>
      </x:c>
    </x:row>
    <x:row r="2">
      <x:c r="A2" s="2" t="inlineStr">
        <x:is>
          <x:t xml:space="preserve">Monthly detail below; yearly summary at the top.</x:t>
        </x:is>
      </x:c>
    </x:row>
    <x:row r="4">
      <x:c r="A4" s="4" t="inlineStr">
        <x:is>
          <x:t xml:space="preserve">THB</x:t>
        </x:is>
      </x:c>
      <x:c r="B4" s="4" t="inlineStr">
        <x:is>
          <x:t xml:space="preserve">Year 1 (M1-12)</x:t>
        </x:is>
      </x:c>
      <x:c r="C4" s="4" t="inlineStr">
        <x:is>
          <x:t xml:space="preserve">Year 2 (M13-24)</x:t>
        </x:is>
      </x:c>
      <x:c r="D4" s="4" t="inlineStr">
        <x:is>
          <x:t xml:space="preserve">Year 3 (M25-36)</x:t>
        </x:is>
      </x:c>
      <x:c r="E4" s="4" t="inlineStr">
        <x:is>
          <x:t xml:space="preserve">3-year total</x:t>
        </x:is>
      </x:c>
    </x:row>
    <x:row r="5">
      <x:c r="A5" s="7" t="inlineStr">
        <x:is>
          <x:t xml:space="preserve">Implementation</x:t>
        </x:is>
      </x:c>
      <x:c r="B5" s="27" t="n">
        <x:f>SUM(B33:M33)</x:f>
        <x:v>15500000</x:v>
      </x:c>
      <x:c r="C5" s="27" t="n">
        <x:f>SUM(N33:Y33)</x:f>
        <x:v>0</x:v>
      </x:c>
      <x:c r="D5" s="27" t="n">
        <x:f>SUM(Z33:AK33)</x:f>
        <x:v>0</x:v>
      </x:c>
      <x:c r="E5" s="28" t="n">
        <x:f>SUM(B5:D5)</x:f>
        <x:v>15500000</x:v>
      </x:c>
    </x:row>
    <x:row r="6">
      <x:c r="A6" s="7" t="inlineStr">
        <x:is>
          <x:t xml:space="preserve">Subscription</x:t>
        </x:is>
      </x:c>
      <x:c r="B6" s="27" t="n">
        <x:f>SUM(B34:M34)</x:f>
        <x:v>7722000</x:v>
      </x:c>
      <x:c r="C6" s="27" t="n">
        <x:f>SUM(N34:Y34)</x:f>
        <x:v>21060000</x:v>
      </x:c>
      <x:c r="D6" s="27" t="n">
        <x:f>SUM(Z34:AK34)</x:f>
        <x:v>21060000</x:v>
      </x:c>
      <x:c r="E6" s="28" t="n">
        <x:f>SUM(B6:D6)</x:f>
        <x:v>49842000</x:v>
      </x:c>
    </x:row>
    <x:row r="7">
      <x:c r="A7" s="7" t="inlineStr">
        <x:is>
          <x:t xml:space="preserve">Rollout services</x:t>
        </x:is>
      </x:c>
      <x:c r="B7" s="27" t="n">
        <x:f>SUM(B35:M35)</x:f>
        <x:v>6000000</x:v>
      </x:c>
      <x:c r="C7" s="27" t="n">
        <x:f>SUM(N35:Y35)</x:f>
        <x:v>9000000</x:v>
      </x:c>
      <x:c r="D7" s="27" t="n">
        <x:f>SUM(Z35:AK35)</x:f>
        <x:v>0</x:v>
      </x:c>
      <x:c r="E7" s="28" t="n">
        <x:f>SUM(B7:D7)</x:f>
        <x:v>15000000</x:v>
      </x:c>
    </x:row>
    <x:row r="8">
      <x:c r="A8" s="18" t="inlineStr">
        <x:is>
          <x:t xml:space="preserve">Total revenue / client spend</x:t>
        </x:is>
      </x:c>
      <x:c r="B8" s="28" t="n">
        <x:f>SUM(B36:M36)</x:f>
        <x:v>29222000</x:v>
      </x:c>
      <x:c r="C8" s="28" t="n">
        <x:f>SUM(N36:Y36)</x:f>
        <x:v>30060000</x:v>
      </x:c>
      <x:c r="D8" s="28" t="n">
        <x:f>SUM(Z36:AK36)</x:f>
        <x:v>21060000</x:v>
      </x:c>
      <x:c r="E8" s="28" t="n">
        <x:f>SUM(B8:D8)</x:f>
        <x:v>80342000</x:v>
      </x:c>
    </x:row>
    <x:row r="9">
      <x:c r="A9" s="7" t="inlineStr">
        <x:is>
          <x:t xml:space="preserve">Total cost to IRIS</x:t>
        </x:is>
      </x:c>
      <x:c r="B9" s="27" t="n">
        <x:f>SUM(B40:M40)</x:f>
        <x:v>18173263.847771432</x:v>
      </x:c>
      <x:c r="C9" s="27" t="n">
        <x:f>SUM(N40:Y40)</x:f>
        <x:v>17852908.416000005</x:v>
      </x:c>
      <x:c r="D9" s="27" t="n">
        <x:f>SUM(Z40:AK40)</x:f>
        <x:v>13352908.416000003</x:v>
      </x:c>
      <x:c r="E9" s="28" t="n">
        <x:f>SUM(B9:D9)</x:f>
        <x:v>49379080.67977144</x:v>
      </x:c>
    </x:row>
    <x:row r="10">
      <x:c r="A10" s="18" t="inlineStr">
        <x:is>
          <x:t xml:space="preserve">Gross profit</x:t>
        </x:is>
      </x:c>
      <x:c r="B10" s="28" t="n">
        <x:f>SUM(B41:M41)</x:f>
        <x:v>11048736.152228568</x:v>
      </x:c>
      <x:c r="C10" s="28" t="n">
        <x:f>SUM(N41:Y41)</x:f>
        <x:v>12207091.583999997</x:v>
      </x:c>
      <x:c r="D10" s="28" t="n">
        <x:f>SUM(Z41:AK41)</x:f>
        <x:v>7707091.584000002</x:v>
      </x:c>
      <x:c r="E10" s="28" t="n">
        <x:f>SUM(B10:D10)</x:f>
        <x:v>30962919.320228565</x:v>
      </x:c>
    </x:row>
    <x:row r="11">
      <x:c r="A11" s="18" t="inlineStr">
        <x:is>
          <x:t xml:space="preserve">Gross margin</x:t>
        </x:is>
      </x:c>
      <x:c r="B11" s="24" t="n">
        <x:f>IF(B8&gt;0,B10/B8,0)</x:f>
        <x:v>0.37809650784438326</x:v>
      </x:c>
      <x:c r="C11" s="24" t="n">
        <x:f>IF(C8&gt;0,C10/C8,0)</x:f>
        <x:v>0.4060908710578841</x:v>
      </x:c>
      <x:c r="D11" s="24" t="n">
        <x:f>IF(D8&gt;0,D10/D8,0)</x:f>
        <x:v>0.36595876467236477</x:v>
      </x:c>
      <x:c r="E11" s="29" t="n">
        <x:f>IF(E8&gt;0,E10/E8,0)</x:f>
        <x:v>0.3853889537256798</x:v>
      </x:c>
    </x:row>
    <x:row r="13">
      <x:c r="A13" s="5" t="inlineStr">
        <x:is>
          <x:t xml:space="preserve">Client view</x:t>
        </x:is>
      </x:c>
    </x:row>
    <x:row r="14">
      <x:c r="A14" s="7" t="inlineStr">
        <x:is>
          <x:t xml:space="preserve">Employees enrolled at year end</x:t>
        </x:is>
      </x:c>
      <x:c r="B14" s="20" t="n">
        <x:f>M31</x:f>
        <x:v>27000</x:v>
      </x:c>
      <x:c r="C14" s="20" t="n">
        <x:f>Y31</x:f>
        <x:v>45000</x:v>
      </x:c>
      <x:c r="D14" s="20" t="n">
        <x:f>AK31</x:f>
        <x:v>45000</x:v>
      </x:c>
    </x:row>
    <x:row r="15">
      <x:c r="A15" s="7" t="inlineStr">
        <x:is>
          <x:t xml:space="preserve">Client spend per employee per year (year-end headcount)</x:t>
        </x:is>
      </x:c>
      <x:c r="B15" s="20" t="n">
        <x:f>IF(B14&gt;0,B8/B14,0)</x:f>
        <x:v>1082.2962962962963</x:v>
      </x:c>
      <x:c r="C15" s="20" t="n">
        <x:f>IF(C14&gt;0,C8/C14,0)</x:f>
        <x:v>668</x:v>
      </x:c>
      <x:c r="D15" s="20" t="n">
        <x:f>IF(D14&gt;0,D8/D14,0)</x:f>
        <x:v>468</x:v>
      </x:c>
    </x:row>
    <x:row r="16">
      <x:c r="A16" s="7" t="inlineStr">
        <x:is>
          <x:t xml:space="preserve">As share of current L&amp;D spend per employee</x:t>
        </x:is>
      </x:c>
      <x:c r="B16" s="30" t="n">
        <x:f>IF(B15&gt;0,B15/Assumptions!$B$9,0)</x:f>
        <x:v>0.3279685746352413</x:v>
      </x:c>
      <x:c r="C16" s="30" t="n">
        <x:f>IF(C15&gt;0,C15/Assumptions!$B$9,0)</x:f>
        <x:v>0.20242424242424242</x:v>
      </x:c>
      <x:c r="D16" s="30" t="n">
        <x:f>IF(D15&gt;0,D15/Assumptions!$B$9,0)</x:f>
        <x:v>0.14181818181818182</x:v>
      </x:c>
    </x:row>
    <x:row r="17">
      <x:c r="A17" s="7" t="inlineStr">
        <x:is>
          <x:t xml:space="preserve">Subscription at full scale (per year)</x:t>
        </x:is>
      </x:c>
      <x:c r="D17" s="27" t="n">
        <x:f>(Assumptions!$B$11+Assumptions!$B$13+Assumptions!$B$15)*Assumptions!$B$63*12</x:f>
        <x:v>21060000</x:v>
      </x:c>
    </x:row>
    <x:row r="18">
      <x:c r="A18" s="7" t="inlineStr">
        <x:is>
          <x:t xml:space="preserve">Subscription at risk on adoption KPIs (per year, full scale)</x:t>
        </x:is>
      </x:c>
      <x:c r="D18" s="27" t="n">
        <x:f>D17*Assumptions!$B$69</x:f>
        <x:v>2106000</x:v>
      </x:c>
    </x:row>
    <x:row r="19">
      <x:c r="A19" s="7" t="inlineStr">
        <x:is>
          <x:t xml:space="preserve">Run cost per enrolled employee per month (month 36)</x:t>
        </x:is>
      </x:c>
      <x:c r="D19" s="31" t="n">
        <x:f>Run!AK22</x:f>
        <x:v>24.72760817777778</x:v>
      </x:c>
    </x:row>
    <x:row r="20">
      <x:c r="A20" s="7" t="inlineStr">
        <x:is>
          <x:t xml:space="preserve">AI cost per coach active user per month (month 36)</x:t>
        </x:is>
      </x:c>
      <x:c r="D20" s="31" t="n">
        <x:f>Run!AK23</x:f>
        <x:v>6.205549037037037</x:v>
      </x:c>
    </x:row>
    <x:row r="21">
      <x:c r="A21" s="7" t="inlineStr">
        <x:is>
          <x:t xml:space="preserve">Implementation fee</x:t>
        </x:is>
      </x:c>
      <x:c r="D21" s="32" t="n">
        <x:f>Build!$E$31</x:f>
        <x:v>15500000</x:v>
      </x:c>
    </x:row>
    <x:row r="22">
      <x:c r="A22" s="7" t="inlineStr">
        <x:is>
          <x:t xml:space="preserve">Wave 1 months: run cost vs subscription (month 4)</x:t>
        </x:is>
      </x:c>
      <x:c r="C22" s="33" t="n">
        <x:f>Run!E21</x:f>
        <x:v>743891.9648</x:v>
      </x:c>
      <x:c r="D22" s="20" t="n">
        <x:f>E34</x:f>
        <x:v>468000</x:v>
      </x:c>
    </x:row>
    <x:row r="29">
      <x:c r="A29" s="18" t="inlineStr">
        <x:is>
          <x:t xml:space="preserve">Monthly detail</x:t>
        </x:is>
      </x:c>
    </x:row>
    <x:row r="30">
      <x:c r="A30" s="25" t="inlineStr">
        <x:is>
          <x:t xml:space="preserve">Month</x:t>
        </x:is>
      </x:c>
      <x:c r="B30" s="25" t="n">
        <x:v>1</x:v>
      </x:c>
      <x:c r="C30" s="25" t="n">
        <x:v>2</x:v>
      </x:c>
      <x:c r="D30" s="25" t="n">
        <x:v>3</x:v>
      </x:c>
      <x:c r="E30" s="25" t="n">
        <x:v>4</x:v>
      </x:c>
      <x:c r="F30" s="25" t="n">
        <x:v>5</x:v>
      </x:c>
      <x:c r="G30" s="25" t="n">
        <x:v>6</x:v>
      </x:c>
      <x:c r="H30" s="25" t="n">
        <x:v>7</x:v>
      </x:c>
      <x:c r="I30" s="25" t="n">
        <x:v>8</x:v>
      </x:c>
      <x:c r="J30" s="25" t="n">
        <x:v>9</x:v>
      </x:c>
      <x:c r="K30" s="25" t="n">
        <x:v>10</x:v>
      </x:c>
      <x:c r="L30" s="25" t="n">
        <x:v>11</x:v>
      </x:c>
      <x:c r="M30" s="25" t="n">
        <x:v>12</x:v>
      </x:c>
      <x:c r="N30" s="25" t="n">
        <x:v>13</x:v>
      </x:c>
      <x:c r="O30" s="25" t="n">
        <x:v>14</x:v>
      </x:c>
      <x:c r="P30" s="25" t="n">
        <x:v>15</x:v>
      </x:c>
      <x:c r="Q30" s="25" t="n">
        <x:v>16</x:v>
      </x:c>
      <x:c r="R30" s="25" t="n">
        <x:v>17</x:v>
      </x:c>
      <x:c r="S30" s="25" t="n">
        <x:v>18</x:v>
      </x:c>
      <x:c r="T30" s="25" t="n">
        <x:v>19</x:v>
      </x:c>
      <x:c r="U30" s="25" t="n">
        <x:v>20</x:v>
      </x:c>
      <x:c r="V30" s="25" t="n">
        <x:v>21</x:v>
      </x:c>
      <x:c r="W30" s="25" t="n">
        <x:v>22</x:v>
      </x:c>
      <x:c r="X30" s="25" t="n">
        <x:v>23</x:v>
      </x:c>
      <x:c r="Y30" s="25" t="n">
        <x:v>24</x:v>
      </x:c>
      <x:c r="Z30" s="25" t="n">
        <x:v>25</x:v>
      </x:c>
      <x:c r="AA30" s="25" t="n">
        <x:v>26</x:v>
      </x:c>
      <x:c r="AB30" s="25" t="n">
        <x:v>27</x:v>
      </x:c>
      <x:c r="AC30" s="25" t="n">
        <x:v>28</x:v>
      </x:c>
      <x:c r="AD30" s="25" t="n">
        <x:v>29</x:v>
      </x:c>
      <x:c r="AE30" s="25" t="n">
        <x:v>30</x:v>
      </x:c>
      <x:c r="AF30" s="25" t="n">
        <x:v>31</x:v>
      </x:c>
      <x:c r="AG30" s="25" t="n">
        <x:v>32</x:v>
      </x:c>
      <x:c r="AH30" s="25" t="n">
        <x:v>33</x:v>
      </x:c>
      <x:c r="AI30" s="25" t="n">
        <x:v>34</x:v>
      </x:c>
      <x:c r="AJ30" s="25" t="n">
        <x:v>35</x:v>
      </x:c>
      <x:c r="AK30" s="25" t="n">
        <x:v>36</x:v>
      </x:c>
    </x:row>
    <x:row r="31">
      <x:c r="A31" s="7" t="inlineStr">
        <x:is>
          <x:t xml:space="preserve">Enrolled employees</x:t>
        </x:is>
      </x:c>
      <x:c r="B31" s="33" t="n">
        <x:f>Run!B5</x:f>
        <x:v>0</x:v>
      </x:c>
      <x:c r="C31" s="33" t="n">
        <x:f>Run!C5</x:f>
        <x:v>0</x:v>
      </x:c>
      <x:c r="D31" s="33" t="n">
        <x:f>Run!D5</x:f>
        <x:v>0</x:v>
      </x:c>
      <x:c r="E31" s="33" t="n">
        <x:f>Run!E5</x:f>
        <x:v>12000</x:v>
      </x:c>
      <x:c r="F31" s="33" t="n">
        <x:f>Run!F5</x:f>
        <x:v>12000</x:v>
      </x:c>
      <x:c r="G31" s="33" t="n">
        <x:f>Run!G5</x:f>
        <x:v>12000</x:v>
      </x:c>
      <x:c r="H31" s="33" t="n">
        <x:f>Run!H5</x:f>
        <x:v>27000</x:v>
      </x:c>
      <x:c r="I31" s="33" t="n">
        <x:f>Run!I5</x:f>
        <x:v>27000</x:v>
      </x:c>
      <x:c r="J31" s="33" t="n">
        <x:f>Run!J5</x:f>
        <x:v>27000</x:v>
      </x:c>
      <x:c r="K31" s="33" t="n">
        <x:f>Run!K5</x:f>
        <x:v>27000</x:v>
      </x:c>
      <x:c r="L31" s="33" t="n">
        <x:f>Run!L5</x:f>
        <x:v>27000</x:v>
      </x:c>
      <x:c r="M31" s="33" t="n">
        <x:f>Run!M5</x:f>
        <x:v>27000</x:v>
      </x:c>
      <x:c r="N31" s="33" t="n">
        <x:f>Run!N5</x:f>
        <x:v>45000</x:v>
      </x:c>
      <x:c r="O31" s="33" t="n">
        <x:f>Run!O5</x:f>
        <x:v>45000</x:v>
      </x:c>
      <x:c r="P31" s="33" t="n">
        <x:f>Run!P5</x:f>
        <x:v>45000</x:v>
      </x:c>
      <x:c r="Q31" s="33" t="n">
        <x:f>Run!Q5</x:f>
        <x:v>45000</x:v>
      </x:c>
      <x:c r="R31" s="33" t="n">
        <x:f>Run!R5</x:f>
        <x:v>45000</x:v>
      </x:c>
      <x:c r="S31" s="33" t="n">
        <x:f>Run!S5</x:f>
        <x:v>45000</x:v>
      </x:c>
      <x:c r="T31" s="33" t="n">
        <x:f>Run!T5</x:f>
        <x:v>45000</x:v>
      </x:c>
      <x:c r="U31" s="33" t="n">
        <x:f>Run!U5</x:f>
        <x:v>45000</x:v>
      </x:c>
      <x:c r="V31" s="33" t="n">
        <x:f>Run!V5</x:f>
        <x:v>45000</x:v>
      </x:c>
      <x:c r="W31" s="33" t="n">
        <x:f>Run!W5</x:f>
        <x:v>45000</x:v>
      </x:c>
      <x:c r="X31" s="33" t="n">
        <x:f>Run!X5</x:f>
        <x:v>45000</x:v>
      </x:c>
      <x:c r="Y31" s="33" t="n">
        <x:f>Run!Y5</x:f>
        <x:v>45000</x:v>
      </x:c>
      <x:c r="Z31" s="33" t="n">
        <x:f>Run!Z5</x:f>
        <x:v>45000</x:v>
      </x:c>
      <x:c r="AA31" s="33" t="n">
        <x:f>Run!AA5</x:f>
        <x:v>45000</x:v>
      </x:c>
      <x:c r="AB31" s="33" t="n">
        <x:f>Run!AB5</x:f>
        <x:v>45000</x:v>
      </x:c>
      <x:c r="AC31" s="33" t="n">
        <x:f>Run!AC5</x:f>
        <x:v>45000</x:v>
      </x:c>
      <x:c r="AD31" s="33" t="n">
        <x:f>Run!AD5</x:f>
        <x:v>45000</x:v>
      </x:c>
      <x:c r="AE31" s="33" t="n">
        <x:f>Run!AE5</x:f>
        <x:v>45000</x:v>
      </x:c>
      <x:c r="AF31" s="33" t="n">
        <x:f>Run!AF5</x:f>
        <x:v>45000</x:v>
      </x:c>
      <x:c r="AG31" s="33" t="n">
        <x:f>Run!AG5</x:f>
        <x:v>45000</x:v>
      </x:c>
      <x:c r="AH31" s="33" t="n">
        <x:f>Run!AH5</x:f>
        <x:v>45000</x:v>
      </x:c>
      <x:c r="AI31" s="33" t="n">
        <x:f>Run!AI5</x:f>
        <x:v>45000</x:v>
      </x:c>
      <x:c r="AJ31" s="33" t="n">
        <x:f>Run!AJ5</x:f>
        <x:v>45000</x:v>
      </x:c>
      <x:c r="AK31" s="33" t="n">
        <x:f>Run!AK5</x:f>
        <x:v>45000</x:v>
      </x:c>
    </x:row>
    <x:row r="32">
      <x:c r="A32" s="7" t="inlineStr">
        <x:is>
          <x:t xml:space="preserve">Billed employees (with minimum)</x:t>
        </x:is>
      </x:c>
      <x:c r="B32" s="20" t="n">
        <x:f>IF(B31&gt;0,MAX(B31,IF(B$30&gt;=Assumptions!$B$14,Assumptions!$B$64,0)),0)</x:f>
        <x:v>0</x:v>
      </x:c>
      <x:c r="C32" s="20" t="n">
        <x:f>IF(C31&gt;0,MAX(C31,IF(C$30&gt;=Assumptions!$B$14,Assumptions!$B$64,0)),0)</x:f>
        <x:v>0</x:v>
      </x:c>
      <x:c r="D32" s="20" t="n">
        <x:f>IF(D31&gt;0,MAX(D31,IF(D$30&gt;=Assumptions!$B$14,Assumptions!$B$64,0)),0)</x:f>
        <x:v>0</x:v>
      </x:c>
      <x:c r="E32" s="20" t="n">
        <x:f>IF(E31&gt;0,MAX(E31,IF(E$30&gt;=Assumptions!$B$14,Assumptions!$B$64,0)),0)</x:f>
        <x:v>12000</x:v>
      </x:c>
      <x:c r="F32" s="20" t="n">
        <x:f>IF(F31&gt;0,MAX(F31,IF(F$30&gt;=Assumptions!$B$14,Assumptions!$B$64,0)),0)</x:f>
        <x:v>12000</x:v>
      </x:c>
      <x:c r="G32" s="20" t="n">
        <x:f>IF(G31&gt;0,MAX(G31,IF(G$30&gt;=Assumptions!$B$14,Assumptions!$B$64,0)),0)</x:f>
        <x:v>12000</x:v>
      </x:c>
      <x:c r="H32" s="20" t="n">
        <x:f>IF(H31&gt;0,MAX(H31,IF(H$30&gt;=Assumptions!$B$14,Assumptions!$B$64,0)),0)</x:f>
        <x:v>27000</x:v>
      </x:c>
      <x:c r="I32" s="20" t="n">
        <x:f>IF(I31&gt;0,MAX(I31,IF(I$30&gt;=Assumptions!$B$14,Assumptions!$B$64,0)),0)</x:f>
        <x:v>27000</x:v>
      </x:c>
      <x:c r="J32" s="20" t="n">
        <x:f>IF(J31&gt;0,MAX(J31,IF(J$30&gt;=Assumptions!$B$14,Assumptions!$B$64,0)),0)</x:f>
        <x:v>27000</x:v>
      </x:c>
      <x:c r="K32" s="20" t="n">
        <x:f>IF(K31&gt;0,MAX(K31,IF(K$30&gt;=Assumptions!$B$14,Assumptions!$B$64,0)),0)</x:f>
        <x:v>27000</x:v>
      </x:c>
      <x:c r="L32" s="20" t="n">
        <x:f>IF(L31&gt;0,MAX(L31,IF(L$30&gt;=Assumptions!$B$14,Assumptions!$B$64,0)),0)</x:f>
        <x:v>27000</x:v>
      </x:c>
      <x:c r="M32" s="20" t="n">
        <x:f>IF(M31&gt;0,MAX(M31,IF(M$30&gt;=Assumptions!$B$14,Assumptions!$B$64,0)),0)</x:f>
        <x:v>27000</x:v>
      </x:c>
      <x:c r="N32" s="20" t="n">
        <x:f>IF(N31&gt;0,MAX(N31,IF(N$30&gt;=Assumptions!$B$14,Assumptions!$B$64,0)),0)</x:f>
        <x:v>45000</x:v>
      </x:c>
      <x:c r="O32" s="20" t="n">
        <x:f>IF(O31&gt;0,MAX(O31,IF(O$30&gt;=Assumptions!$B$14,Assumptions!$B$64,0)),0)</x:f>
        <x:v>45000</x:v>
      </x:c>
      <x:c r="P32" s="20" t="n">
        <x:f>IF(P31&gt;0,MAX(P31,IF(P$30&gt;=Assumptions!$B$14,Assumptions!$B$64,0)),0)</x:f>
        <x:v>45000</x:v>
      </x:c>
      <x:c r="Q32" s="20" t="n">
        <x:f>IF(Q31&gt;0,MAX(Q31,IF(Q$30&gt;=Assumptions!$B$14,Assumptions!$B$64,0)),0)</x:f>
        <x:v>45000</x:v>
      </x:c>
      <x:c r="R32" s="20" t="n">
        <x:f>IF(R31&gt;0,MAX(R31,IF(R$30&gt;=Assumptions!$B$14,Assumptions!$B$64,0)),0)</x:f>
        <x:v>45000</x:v>
      </x:c>
      <x:c r="S32" s="20" t="n">
        <x:f>IF(S31&gt;0,MAX(S31,IF(S$30&gt;=Assumptions!$B$14,Assumptions!$B$64,0)),0)</x:f>
        <x:v>45000</x:v>
      </x:c>
      <x:c r="T32" s="20" t="n">
        <x:f>IF(T31&gt;0,MAX(T31,IF(T$30&gt;=Assumptions!$B$14,Assumptions!$B$64,0)),0)</x:f>
        <x:v>45000</x:v>
      </x:c>
      <x:c r="U32" s="20" t="n">
        <x:f>IF(U31&gt;0,MAX(U31,IF(U$30&gt;=Assumptions!$B$14,Assumptions!$B$64,0)),0)</x:f>
        <x:v>45000</x:v>
      </x:c>
      <x:c r="V32" s="20" t="n">
        <x:f>IF(V31&gt;0,MAX(V31,IF(V$30&gt;=Assumptions!$B$14,Assumptions!$B$64,0)),0)</x:f>
        <x:v>45000</x:v>
      </x:c>
      <x:c r="W32" s="20" t="n">
        <x:f>IF(W31&gt;0,MAX(W31,IF(W$30&gt;=Assumptions!$B$14,Assumptions!$B$64,0)),0)</x:f>
        <x:v>45000</x:v>
      </x:c>
      <x:c r="X32" s="20" t="n">
        <x:f>IF(X31&gt;0,MAX(X31,IF(X$30&gt;=Assumptions!$B$14,Assumptions!$B$64,0)),0)</x:f>
        <x:v>45000</x:v>
      </x:c>
      <x:c r="Y32" s="20" t="n">
        <x:f>IF(Y31&gt;0,MAX(Y31,IF(Y$30&gt;=Assumptions!$B$14,Assumptions!$B$64,0)),0)</x:f>
        <x:v>45000</x:v>
      </x:c>
      <x:c r="Z32" s="20" t="n">
        <x:f>IF(Z31&gt;0,MAX(Z31,IF(Z$30&gt;=Assumptions!$B$14,Assumptions!$B$64,0)),0)</x:f>
        <x:v>45000</x:v>
      </x:c>
      <x:c r="AA32" s="20" t="n">
        <x:f>IF(AA31&gt;0,MAX(AA31,IF(AA$30&gt;=Assumptions!$B$14,Assumptions!$B$64,0)),0)</x:f>
        <x:v>45000</x:v>
      </x:c>
      <x:c r="AB32" s="20" t="n">
        <x:f>IF(AB31&gt;0,MAX(AB31,IF(AB$30&gt;=Assumptions!$B$14,Assumptions!$B$64,0)),0)</x:f>
        <x:v>45000</x:v>
      </x:c>
      <x:c r="AC32" s="20" t="n">
        <x:f>IF(AC31&gt;0,MAX(AC31,IF(AC$30&gt;=Assumptions!$B$14,Assumptions!$B$64,0)),0)</x:f>
        <x:v>45000</x:v>
      </x:c>
      <x:c r="AD32" s="20" t="n">
        <x:f>IF(AD31&gt;0,MAX(AD31,IF(AD$30&gt;=Assumptions!$B$14,Assumptions!$B$64,0)),0)</x:f>
        <x:v>45000</x:v>
      </x:c>
      <x:c r="AE32" s="20" t="n">
        <x:f>IF(AE31&gt;0,MAX(AE31,IF(AE$30&gt;=Assumptions!$B$14,Assumptions!$B$64,0)),0)</x:f>
        <x:v>45000</x:v>
      </x:c>
      <x:c r="AF32" s="20" t="n">
        <x:f>IF(AF31&gt;0,MAX(AF31,IF(AF$30&gt;=Assumptions!$B$14,Assumptions!$B$64,0)),0)</x:f>
        <x:v>45000</x:v>
      </x:c>
      <x:c r="AG32" s="20" t="n">
        <x:f>IF(AG31&gt;0,MAX(AG31,IF(AG$30&gt;=Assumptions!$B$14,Assumptions!$B$64,0)),0)</x:f>
        <x:v>45000</x:v>
      </x:c>
      <x:c r="AH32" s="20" t="n">
        <x:f>IF(AH31&gt;0,MAX(AH31,IF(AH$30&gt;=Assumptions!$B$14,Assumptions!$B$64,0)),0)</x:f>
        <x:v>45000</x:v>
      </x:c>
      <x:c r="AI32" s="20" t="n">
        <x:f>IF(AI31&gt;0,MAX(AI31,IF(AI$30&gt;=Assumptions!$B$14,Assumptions!$B$64,0)),0)</x:f>
        <x:v>45000</x:v>
      </x:c>
      <x:c r="AJ32" s="20" t="n">
        <x:f>IF(AJ31&gt;0,MAX(AJ31,IF(AJ$30&gt;=Assumptions!$B$14,Assumptions!$B$64,0)),0)</x:f>
        <x:v>45000</x:v>
      </x:c>
      <x:c r="AK32" s="20" t="n">
        <x:f>IF(AK31&gt;0,MAX(AK31,IF(AK$30&gt;=Assumptions!$B$14,Assumptions!$B$64,0)),0)</x:f>
        <x:v>45000</x:v>
      </x:c>
    </x:row>
    <x:row r="33">
      <x:c r="A33" s="7" t="inlineStr">
        <x:is>
          <x:t xml:space="preserve">Revenue: implementation</x:t>
        </x:is>
      </x:c>
      <x:c r="B33" s="20" t="n">
        <x:f>IF(B$30=1,0.3,IF(B$30=2,0.3,IF(B$30=3,0.4,0)))*Build!$E$31</x:f>
        <x:v>4650000</x:v>
      </x:c>
      <x:c r="C33" s="20" t="n">
        <x:f>IF(C$30=1,0.3,IF(C$30=2,0.3,IF(C$30=3,0.4,0)))*Build!$E$31</x:f>
        <x:v>4650000</x:v>
      </x:c>
      <x:c r="D33" s="20" t="n">
        <x:f>IF(D$30=1,0.3,IF(D$30=2,0.3,IF(D$30=3,0.4,0)))*Build!$E$31</x:f>
        <x:v>6200000</x:v>
      </x:c>
      <x:c r="E33" s="20" t="n">
        <x:f>IF(E$30=1,0.3,IF(E$30=2,0.3,IF(E$30=3,0.4,0)))*Build!$E$31</x:f>
        <x:v>0</x:v>
      </x:c>
      <x:c r="F33" s="20" t="n">
        <x:f>IF(F$30=1,0.3,IF(F$30=2,0.3,IF(F$30=3,0.4,0)))*Build!$E$31</x:f>
        <x:v>0</x:v>
      </x:c>
      <x:c r="G33" s="20" t="n">
        <x:f>IF(G$30=1,0.3,IF(G$30=2,0.3,IF(G$30=3,0.4,0)))*Build!$E$31</x:f>
        <x:v>0</x:v>
      </x:c>
      <x:c r="H33" s="20" t="n">
        <x:f>IF(H$30=1,0.3,IF(H$30=2,0.3,IF(H$30=3,0.4,0)))*Build!$E$31</x:f>
        <x:v>0</x:v>
      </x:c>
      <x:c r="I33" s="20" t="n">
        <x:f>IF(I$30=1,0.3,IF(I$30=2,0.3,IF(I$30=3,0.4,0)))*Build!$E$31</x:f>
        <x:v>0</x:v>
      </x:c>
      <x:c r="J33" s="20" t="n">
        <x:f>IF(J$30=1,0.3,IF(J$30=2,0.3,IF(J$30=3,0.4,0)))*Build!$E$31</x:f>
        <x:v>0</x:v>
      </x:c>
      <x:c r="K33" s="20" t="n">
        <x:f>IF(K$30=1,0.3,IF(K$30=2,0.3,IF(K$30=3,0.4,0)))*Build!$E$31</x:f>
        <x:v>0</x:v>
      </x:c>
      <x:c r="L33" s="20" t="n">
        <x:f>IF(L$30=1,0.3,IF(L$30=2,0.3,IF(L$30=3,0.4,0)))*Build!$E$31</x:f>
        <x:v>0</x:v>
      </x:c>
      <x:c r="M33" s="20" t="n">
        <x:f>IF(M$30=1,0.3,IF(M$30=2,0.3,IF(M$30=3,0.4,0)))*Build!$E$31</x:f>
        <x:v>0</x:v>
      </x:c>
      <x:c r="N33" s="20" t="n">
        <x:f>IF(N$30=1,0.3,IF(N$30=2,0.3,IF(N$30=3,0.4,0)))*Build!$E$31</x:f>
        <x:v>0</x:v>
      </x:c>
      <x:c r="O33" s="20" t="n">
        <x:f>IF(O$30=1,0.3,IF(O$30=2,0.3,IF(O$30=3,0.4,0)))*Build!$E$31</x:f>
        <x:v>0</x:v>
      </x:c>
      <x:c r="P33" s="20" t="n">
        <x:f>IF(P$30=1,0.3,IF(P$30=2,0.3,IF(P$30=3,0.4,0)))*Build!$E$31</x:f>
        <x:v>0</x:v>
      </x:c>
      <x:c r="Q33" s="20" t="n">
        <x:f>IF(Q$30=1,0.3,IF(Q$30=2,0.3,IF(Q$30=3,0.4,0)))*Build!$E$31</x:f>
        <x:v>0</x:v>
      </x:c>
      <x:c r="R33" s="20" t="n">
        <x:f>IF(R$30=1,0.3,IF(R$30=2,0.3,IF(R$30=3,0.4,0)))*Build!$E$31</x:f>
        <x:v>0</x:v>
      </x:c>
      <x:c r="S33" s="20" t="n">
        <x:f>IF(S$30=1,0.3,IF(S$30=2,0.3,IF(S$30=3,0.4,0)))*Build!$E$31</x:f>
        <x:v>0</x:v>
      </x:c>
      <x:c r="T33" s="20" t="n">
        <x:f>IF(T$30=1,0.3,IF(T$30=2,0.3,IF(T$30=3,0.4,0)))*Build!$E$31</x:f>
        <x:v>0</x:v>
      </x:c>
      <x:c r="U33" s="20" t="n">
        <x:f>IF(U$30=1,0.3,IF(U$30=2,0.3,IF(U$30=3,0.4,0)))*Build!$E$31</x:f>
        <x:v>0</x:v>
      </x:c>
      <x:c r="V33" s="20" t="n">
        <x:f>IF(V$30=1,0.3,IF(V$30=2,0.3,IF(V$30=3,0.4,0)))*Build!$E$31</x:f>
        <x:v>0</x:v>
      </x:c>
      <x:c r="W33" s="20" t="n">
        <x:f>IF(W$30=1,0.3,IF(W$30=2,0.3,IF(W$30=3,0.4,0)))*Build!$E$31</x:f>
        <x:v>0</x:v>
      </x:c>
      <x:c r="X33" s="20" t="n">
        <x:f>IF(X$30=1,0.3,IF(X$30=2,0.3,IF(X$30=3,0.4,0)))*Build!$E$31</x:f>
        <x:v>0</x:v>
      </x:c>
      <x:c r="Y33" s="20" t="n">
        <x:f>IF(Y$30=1,0.3,IF(Y$30=2,0.3,IF(Y$30=3,0.4,0)))*Build!$E$31</x:f>
        <x:v>0</x:v>
      </x:c>
      <x:c r="Z33" s="20" t="n">
        <x:f>IF(Z$30=1,0.3,IF(Z$30=2,0.3,IF(Z$30=3,0.4,0)))*Build!$E$31</x:f>
        <x:v>0</x:v>
      </x:c>
      <x:c r="AA33" s="20" t="n">
        <x:f>IF(AA$30=1,0.3,IF(AA$30=2,0.3,IF(AA$30=3,0.4,0)))*Build!$E$31</x:f>
        <x:v>0</x:v>
      </x:c>
      <x:c r="AB33" s="20" t="n">
        <x:f>IF(AB$30=1,0.3,IF(AB$30=2,0.3,IF(AB$30=3,0.4,0)))*Build!$E$31</x:f>
        <x:v>0</x:v>
      </x:c>
      <x:c r="AC33" s="20" t="n">
        <x:f>IF(AC$30=1,0.3,IF(AC$30=2,0.3,IF(AC$30=3,0.4,0)))*Build!$E$31</x:f>
        <x:v>0</x:v>
      </x:c>
      <x:c r="AD33" s="20" t="n">
        <x:f>IF(AD$30=1,0.3,IF(AD$30=2,0.3,IF(AD$30=3,0.4,0)))*Build!$E$31</x:f>
        <x:v>0</x:v>
      </x:c>
      <x:c r="AE33" s="20" t="n">
        <x:f>IF(AE$30=1,0.3,IF(AE$30=2,0.3,IF(AE$30=3,0.4,0)))*Build!$E$31</x:f>
        <x:v>0</x:v>
      </x:c>
      <x:c r="AF33" s="20" t="n">
        <x:f>IF(AF$30=1,0.3,IF(AF$30=2,0.3,IF(AF$30=3,0.4,0)))*Build!$E$31</x:f>
        <x:v>0</x:v>
      </x:c>
      <x:c r="AG33" s="20" t="n">
        <x:f>IF(AG$30=1,0.3,IF(AG$30=2,0.3,IF(AG$30=3,0.4,0)))*Build!$E$31</x:f>
        <x:v>0</x:v>
      </x:c>
      <x:c r="AH33" s="20" t="n">
        <x:f>IF(AH$30=1,0.3,IF(AH$30=2,0.3,IF(AH$30=3,0.4,0)))*Build!$E$31</x:f>
        <x:v>0</x:v>
      </x:c>
      <x:c r="AI33" s="20" t="n">
        <x:f>IF(AI$30=1,0.3,IF(AI$30=2,0.3,IF(AI$30=3,0.4,0)))*Build!$E$31</x:f>
        <x:v>0</x:v>
      </x:c>
      <x:c r="AJ33" s="20" t="n">
        <x:f>IF(AJ$30=1,0.3,IF(AJ$30=2,0.3,IF(AJ$30=3,0.4,0)))*Build!$E$31</x:f>
        <x:v>0</x:v>
      </x:c>
      <x:c r="AK33" s="20" t="n">
        <x:f>IF(AK$30=1,0.3,IF(AK$30=2,0.3,IF(AK$30=3,0.4,0)))*Build!$E$31</x:f>
        <x:v>0</x:v>
      </x:c>
    </x:row>
    <x:row r="34">
      <x:c r="A34" s="7" t="inlineStr">
        <x:is>
          <x:t xml:space="preserve">Revenue: subscription</x:t>
        </x:is>
      </x:c>
      <x:c r="B34" s="20" t="n">
        <x:f>B32*Assumptions!$B$63</x:f>
        <x:v>0</x:v>
      </x:c>
      <x:c r="C34" s="20" t="n">
        <x:f>C32*Assumptions!$B$63</x:f>
        <x:v>0</x:v>
      </x:c>
      <x:c r="D34" s="20" t="n">
        <x:f>D32*Assumptions!$B$63</x:f>
        <x:v>0</x:v>
      </x:c>
      <x:c r="E34" s="20" t="n">
        <x:f>E32*Assumptions!$B$63</x:f>
        <x:v>468000</x:v>
      </x:c>
      <x:c r="F34" s="20" t="n">
        <x:f>F32*Assumptions!$B$63</x:f>
        <x:v>468000</x:v>
      </x:c>
      <x:c r="G34" s="20" t="n">
        <x:f>G32*Assumptions!$B$63</x:f>
        <x:v>468000</x:v>
      </x:c>
      <x:c r="H34" s="20" t="n">
        <x:f>H32*Assumptions!$B$63</x:f>
        <x:v>1053000</x:v>
      </x:c>
      <x:c r="I34" s="20" t="n">
        <x:f>I32*Assumptions!$B$63</x:f>
        <x:v>1053000</x:v>
      </x:c>
      <x:c r="J34" s="20" t="n">
        <x:f>J32*Assumptions!$B$63</x:f>
        <x:v>1053000</x:v>
      </x:c>
      <x:c r="K34" s="20" t="n">
        <x:f>K32*Assumptions!$B$63</x:f>
        <x:v>1053000</x:v>
      </x:c>
      <x:c r="L34" s="20" t="n">
        <x:f>L32*Assumptions!$B$63</x:f>
        <x:v>1053000</x:v>
      </x:c>
      <x:c r="M34" s="20" t="n">
        <x:f>M32*Assumptions!$B$63</x:f>
        <x:v>1053000</x:v>
      </x:c>
      <x:c r="N34" s="20" t="n">
        <x:f>N32*Assumptions!$B$63</x:f>
        <x:v>1755000</x:v>
      </x:c>
      <x:c r="O34" s="20" t="n">
        <x:f>O32*Assumptions!$B$63</x:f>
        <x:v>1755000</x:v>
      </x:c>
      <x:c r="P34" s="20" t="n">
        <x:f>P32*Assumptions!$B$63</x:f>
        <x:v>1755000</x:v>
      </x:c>
      <x:c r="Q34" s="20" t="n">
        <x:f>Q32*Assumptions!$B$63</x:f>
        <x:v>1755000</x:v>
      </x:c>
      <x:c r="R34" s="20" t="n">
        <x:f>R32*Assumptions!$B$63</x:f>
        <x:v>1755000</x:v>
      </x:c>
      <x:c r="S34" s="20" t="n">
        <x:f>S32*Assumptions!$B$63</x:f>
        <x:v>1755000</x:v>
      </x:c>
      <x:c r="T34" s="20" t="n">
        <x:f>T32*Assumptions!$B$63</x:f>
        <x:v>1755000</x:v>
      </x:c>
      <x:c r="U34" s="20" t="n">
        <x:f>U32*Assumptions!$B$63</x:f>
        <x:v>1755000</x:v>
      </x:c>
      <x:c r="V34" s="20" t="n">
        <x:f>V32*Assumptions!$B$63</x:f>
        <x:v>1755000</x:v>
      </x:c>
      <x:c r="W34" s="20" t="n">
        <x:f>W32*Assumptions!$B$63</x:f>
        <x:v>1755000</x:v>
      </x:c>
      <x:c r="X34" s="20" t="n">
        <x:f>X32*Assumptions!$B$63</x:f>
        <x:v>1755000</x:v>
      </x:c>
      <x:c r="Y34" s="20" t="n">
        <x:f>Y32*Assumptions!$B$63</x:f>
        <x:v>1755000</x:v>
      </x:c>
      <x:c r="Z34" s="20" t="n">
        <x:f>Z32*Assumptions!$B$63</x:f>
        <x:v>1755000</x:v>
      </x:c>
      <x:c r="AA34" s="20" t="n">
        <x:f>AA32*Assumptions!$B$63</x:f>
        <x:v>1755000</x:v>
      </x:c>
      <x:c r="AB34" s="20" t="n">
        <x:f>AB32*Assumptions!$B$63</x:f>
        <x:v>1755000</x:v>
      </x:c>
      <x:c r="AC34" s="20" t="n">
        <x:f>AC32*Assumptions!$B$63</x:f>
        <x:v>1755000</x:v>
      </x:c>
      <x:c r="AD34" s="20" t="n">
        <x:f>AD32*Assumptions!$B$63</x:f>
        <x:v>1755000</x:v>
      </x:c>
      <x:c r="AE34" s="20" t="n">
        <x:f>AE32*Assumptions!$B$63</x:f>
        <x:v>1755000</x:v>
      </x:c>
      <x:c r="AF34" s="20" t="n">
        <x:f>AF32*Assumptions!$B$63</x:f>
        <x:v>1755000</x:v>
      </x:c>
      <x:c r="AG34" s="20" t="n">
        <x:f>AG32*Assumptions!$B$63</x:f>
        <x:v>1755000</x:v>
      </x:c>
      <x:c r="AH34" s="20" t="n">
        <x:f>AH32*Assumptions!$B$63</x:f>
        <x:v>1755000</x:v>
      </x:c>
      <x:c r="AI34" s="20" t="n">
        <x:f>AI32*Assumptions!$B$63</x:f>
        <x:v>1755000</x:v>
      </x:c>
      <x:c r="AJ34" s="20" t="n">
        <x:f>AJ32*Assumptions!$B$63</x:f>
        <x:v>1755000</x:v>
      </x:c>
      <x:c r="AK34" s="20" t="n">
        <x:f>AK32*Assumptions!$B$63</x:f>
        <x:v>1755000</x:v>
      </x:c>
    </x:row>
    <x:row r="35">
      <x:c r="A35" s="7" t="inlineStr">
        <x:is>
          <x:t xml:space="preserve">Revenue: rollout services</x:t>
        </x:is>
      </x:c>
      <x:c r="B35" s="20" t="n">
        <x:f>IF(B$30=Assumptions!$B$14,Assumptions!$B$66,0)+IF(B$30=Assumptions!$B$16,Assumptions!$B$67,0)</x:f>
        <x:v>0</x:v>
      </x:c>
      <x:c r="C35" s="20" t="n">
        <x:f>IF(C$30=Assumptions!$B$14,Assumptions!$B$66,0)+IF(C$30=Assumptions!$B$16,Assumptions!$B$67,0)</x:f>
        <x:v>0</x:v>
      </x:c>
      <x:c r="D35" s="20" t="n">
        <x:f>IF(D$30=Assumptions!$B$14,Assumptions!$B$66,0)+IF(D$30=Assumptions!$B$16,Assumptions!$B$67,0)</x:f>
        <x:v>0</x:v>
      </x:c>
      <x:c r="E35" s="20" t="n">
        <x:f>IF(E$30=Assumptions!$B$14,Assumptions!$B$66,0)+IF(E$30=Assumptions!$B$16,Assumptions!$B$67,0)</x:f>
        <x:v>0</x:v>
      </x:c>
      <x:c r="F35" s="20" t="n">
        <x:f>IF(F$30=Assumptions!$B$14,Assumptions!$B$66,0)+IF(F$30=Assumptions!$B$16,Assumptions!$B$67,0)</x:f>
        <x:v>0</x:v>
      </x:c>
      <x:c r="G35" s="20" t="n">
        <x:f>IF(G$30=Assumptions!$B$14,Assumptions!$B$66,0)+IF(G$30=Assumptions!$B$16,Assumptions!$B$67,0)</x:f>
        <x:v>0</x:v>
      </x:c>
      <x:c r="H35" s="20" t="n">
        <x:f>IF(H$30=Assumptions!$B$14,Assumptions!$B$66,0)+IF(H$30=Assumptions!$B$16,Assumptions!$B$67,0)</x:f>
        <x:v>6000000</x:v>
      </x:c>
      <x:c r="I35" s="20" t="n">
        <x:f>IF(I$30=Assumptions!$B$14,Assumptions!$B$66,0)+IF(I$30=Assumptions!$B$16,Assumptions!$B$67,0)</x:f>
        <x:v>0</x:v>
      </x:c>
      <x:c r="J35" s="20" t="n">
        <x:f>IF(J$30=Assumptions!$B$14,Assumptions!$B$66,0)+IF(J$30=Assumptions!$B$16,Assumptions!$B$67,0)</x:f>
        <x:v>0</x:v>
      </x:c>
      <x:c r="K35" s="20" t="n">
        <x:f>IF(K$30=Assumptions!$B$14,Assumptions!$B$66,0)+IF(K$30=Assumptions!$B$16,Assumptions!$B$67,0)</x:f>
        <x:v>0</x:v>
      </x:c>
      <x:c r="L35" s="20" t="n">
        <x:f>IF(L$30=Assumptions!$B$14,Assumptions!$B$66,0)+IF(L$30=Assumptions!$B$16,Assumptions!$B$67,0)</x:f>
        <x:v>0</x:v>
      </x:c>
      <x:c r="M35" s="20" t="n">
        <x:f>IF(M$30=Assumptions!$B$14,Assumptions!$B$66,0)+IF(M$30=Assumptions!$B$16,Assumptions!$B$67,0)</x:f>
        <x:v>0</x:v>
      </x:c>
      <x:c r="N35" s="20" t="n">
        <x:f>IF(N$30=Assumptions!$B$14,Assumptions!$B$66,0)+IF(N$30=Assumptions!$B$16,Assumptions!$B$67,0)</x:f>
        <x:v>9000000</x:v>
      </x:c>
      <x:c r="O35" s="20" t="n">
        <x:f>IF(O$30=Assumptions!$B$14,Assumptions!$B$66,0)+IF(O$30=Assumptions!$B$16,Assumptions!$B$67,0)</x:f>
        <x:v>0</x:v>
      </x:c>
      <x:c r="P35" s="20" t="n">
        <x:f>IF(P$30=Assumptions!$B$14,Assumptions!$B$66,0)+IF(P$30=Assumptions!$B$16,Assumptions!$B$67,0)</x:f>
        <x:v>0</x:v>
      </x:c>
      <x:c r="Q35" s="20" t="n">
        <x:f>IF(Q$30=Assumptions!$B$14,Assumptions!$B$66,0)+IF(Q$30=Assumptions!$B$16,Assumptions!$B$67,0)</x:f>
        <x:v>0</x:v>
      </x:c>
      <x:c r="R35" s="20" t="n">
        <x:f>IF(R$30=Assumptions!$B$14,Assumptions!$B$66,0)+IF(R$30=Assumptions!$B$16,Assumptions!$B$67,0)</x:f>
        <x:v>0</x:v>
      </x:c>
      <x:c r="S35" s="20" t="n">
        <x:f>IF(S$30=Assumptions!$B$14,Assumptions!$B$66,0)+IF(S$30=Assumptions!$B$16,Assumptions!$B$67,0)</x:f>
        <x:v>0</x:v>
      </x:c>
      <x:c r="T35" s="20" t="n">
        <x:f>IF(T$30=Assumptions!$B$14,Assumptions!$B$66,0)+IF(T$30=Assumptions!$B$16,Assumptions!$B$67,0)</x:f>
        <x:v>0</x:v>
      </x:c>
      <x:c r="U35" s="20" t="n">
        <x:f>IF(U$30=Assumptions!$B$14,Assumptions!$B$66,0)+IF(U$30=Assumptions!$B$16,Assumptions!$B$67,0)</x:f>
        <x:v>0</x:v>
      </x:c>
      <x:c r="V35" s="20" t="n">
        <x:f>IF(V$30=Assumptions!$B$14,Assumptions!$B$66,0)+IF(V$30=Assumptions!$B$16,Assumptions!$B$67,0)</x:f>
        <x:v>0</x:v>
      </x:c>
      <x:c r="W35" s="20" t="n">
        <x:f>IF(W$30=Assumptions!$B$14,Assumptions!$B$66,0)+IF(W$30=Assumptions!$B$16,Assumptions!$B$67,0)</x:f>
        <x:v>0</x:v>
      </x:c>
      <x:c r="X35" s="20" t="n">
        <x:f>IF(X$30=Assumptions!$B$14,Assumptions!$B$66,0)+IF(X$30=Assumptions!$B$16,Assumptions!$B$67,0)</x:f>
        <x:v>0</x:v>
      </x:c>
      <x:c r="Y35" s="20" t="n">
        <x:f>IF(Y$30=Assumptions!$B$14,Assumptions!$B$66,0)+IF(Y$30=Assumptions!$B$16,Assumptions!$B$67,0)</x:f>
        <x:v>0</x:v>
      </x:c>
      <x:c r="Z35" s="20" t="n">
        <x:f>IF(Z$30=Assumptions!$B$14,Assumptions!$B$66,0)+IF(Z$30=Assumptions!$B$16,Assumptions!$B$67,0)</x:f>
        <x:v>0</x:v>
      </x:c>
      <x:c r="AA35" s="20" t="n">
        <x:f>IF(AA$30=Assumptions!$B$14,Assumptions!$B$66,0)+IF(AA$30=Assumptions!$B$16,Assumptions!$B$67,0)</x:f>
        <x:v>0</x:v>
      </x:c>
      <x:c r="AB35" s="20" t="n">
        <x:f>IF(AB$30=Assumptions!$B$14,Assumptions!$B$66,0)+IF(AB$30=Assumptions!$B$16,Assumptions!$B$67,0)</x:f>
        <x:v>0</x:v>
      </x:c>
      <x:c r="AC35" s="20" t="n">
        <x:f>IF(AC$30=Assumptions!$B$14,Assumptions!$B$66,0)+IF(AC$30=Assumptions!$B$16,Assumptions!$B$67,0)</x:f>
        <x:v>0</x:v>
      </x:c>
      <x:c r="AD35" s="20" t="n">
        <x:f>IF(AD$30=Assumptions!$B$14,Assumptions!$B$66,0)+IF(AD$30=Assumptions!$B$16,Assumptions!$B$67,0)</x:f>
        <x:v>0</x:v>
      </x:c>
      <x:c r="AE35" s="20" t="n">
        <x:f>IF(AE$30=Assumptions!$B$14,Assumptions!$B$66,0)+IF(AE$30=Assumptions!$B$16,Assumptions!$B$67,0)</x:f>
        <x:v>0</x:v>
      </x:c>
      <x:c r="AF35" s="20" t="n">
        <x:f>IF(AF$30=Assumptions!$B$14,Assumptions!$B$66,0)+IF(AF$30=Assumptions!$B$16,Assumptions!$B$67,0)</x:f>
        <x:v>0</x:v>
      </x:c>
      <x:c r="AG35" s="20" t="n">
        <x:f>IF(AG$30=Assumptions!$B$14,Assumptions!$B$66,0)+IF(AG$30=Assumptions!$B$16,Assumptions!$B$67,0)</x:f>
        <x:v>0</x:v>
      </x:c>
      <x:c r="AH35" s="20" t="n">
        <x:f>IF(AH$30=Assumptions!$B$14,Assumptions!$B$66,0)+IF(AH$30=Assumptions!$B$16,Assumptions!$B$67,0)</x:f>
        <x:v>0</x:v>
      </x:c>
      <x:c r="AI35" s="20" t="n">
        <x:f>IF(AI$30=Assumptions!$B$14,Assumptions!$B$66,0)+IF(AI$30=Assumptions!$B$16,Assumptions!$B$67,0)</x:f>
        <x:v>0</x:v>
      </x:c>
      <x:c r="AJ35" s="20" t="n">
        <x:f>IF(AJ$30=Assumptions!$B$14,Assumptions!$B$66,0)+IF(AJ$30=Assumptions!$B$16,Assumptions!$B$67,0)</x:f>
        <x:v>0</x:v>
      </x:c>
      <x:c r="AK35" s="20" t="n">
        <x:f>IF(AK$30=Assumptions!$B$14,Assumptions!$B$66,0)+IF(AK$30=Assumptions!$B$16,Assumptions!$B$67,0)</x:f>
        <x:v>0</x:v>
      </x:c>
    </x:row>
    <x:row r="36">
      <x:c r="A36" s="18" t="inlineStr">
        <x:is>
          <x:t xml:space="preserve">Total revenue (= client spend)</x:t>
        </x:is>
      </x:c>
      <x:c r="B36" s="22" t="n">
        <x:f>SUM(B33:B35)</x:f>
        <x:v>4650000</x:v>
      </x:c>
      <x:c r="C36" s="22" t="n">
        <x:f>SUM(C33:C35)</x:f>
        <x:v>4650000</x:v>
      </x:c>
      <x:c r="D36" s="22" t="n">
        <x:f>SUM(D33:D35)</x:f>
        <x:v>6200000</x:v>
      </x:c>
      <x:c r="E36" s="22" t="n">
        <x:f>SUM(E33:E35)</x:f>
        <x:v>468000</x:v>
      </x:c>
      <x:c r="F36" s="22" t="n">
        <x:f>SUM(F33:F35)</x:f>
        <x:v>468000</x:v>
      </x:c>
      <x:c r="G36" s="22" t="n">
        <x:f>SUM(G33:G35)</x:f>
        <x:v>468000</x:v>
      </x:c>
      <x:c r="H36" s="22" t="n">
        <x:f>SUM(H33:H35)</x:f>
        <x:v>7053000</x:v>
      </x:c>
      <x:c r="I36" s="22" t="n">
        <x:f>SUM(I33:I35)</x:f>
        <x:v>1053000</x:v>
      </x:c>
      <x:c r="J36" s="22" t="n">
        <x:f>SUM(J33:J35)</x:f>
        <x:v>1053000</x:v>
      </x:c>
      <x:c r="K36" s="22" t="n">
        <x:f>SUM(K33:K35)</x:f>
        <x:v>1053000</x:v>
      </x:c>
      <x:c r="L36" s="22" t="n">
        <x:f>SUM(L33:L35)</x:f>
        <x:v>1053000</x:v>
      </x:c>
      <x:c r="M36" s="22" t="n">
        <x:f>SUM(M33:M35)</x:f>
        <x:v>1053000</x:v>
      </x:c>
      <x:c r="N36" s="22" t="n">
        <x:f>SUM(N33:N35)</x:f>
        <x:v>10755000</x:v>
      </x:c>
      <x:c r="O36" s="22" t="n">
        <x:f>SUM(O33:O35)</x:f>
        <x:v>1755000</x:v>
      </x:c>
      <x:c r="P36" s="22" t="n">
        <x:f>SUM(P33:P35)</x:f>
        <x:v>1755000</x:v>
      </x:c>
      <x:c r="Q36" s="22" t="n">
        <x:f>SUM(Q33:Q35)</x:f>
        <x:v>1755000</x:v>
      </x:c>
      <x:c r="R36" s="22" t="n">
        <x:f>SUM(R33:R35)</x:f>
        <x:v>1755000</x:v>
      </x:c>
      <x:c r="S36" s="22" t="n">
        <x:f>SUM(S33:S35)</x:f>
        <x:v>1755000</x:v>
      </x:c>
      <x:c r="T36" s="22" t="n">
        <x:f>SUM(T33:T35)</x:f>
        <x:v>1755000</x:v>
      </x:c>
      <x:c r="U36" s="22" t="n">
        <x:f>SUM(U33:U35)</x:f>
        <x:v>1755000</x:v>
      </x:c>
      <x:c r="V36" s="22" t="n">
        <x:f>SUM(V33:V35)</x:f>
        <x:v>1755000</x:v>
      </x:c>
      <x:c r="W36" s="22" t="n">
        <x:f>SUM(W33:W35)</x:f>
        <x:v>1755000</x:v>
      </x:c>
      <x:c r="X36" s="22" t="n">
        <x:f>SUM(X33:X35)</x:f>
        <x:v>1755000</x:v>
      </x:c>
      <x:c r="Y36" s="22" t="n">
        <x:f>SUM(Y33:Y35)</x:f>
        <x:v>1755000</x:v>
      </x:c>
      <x:c r="Z36" s="22" t="n">
        <x:f>SUM(Z33:Z35)</x:f>
        <x:v>1755000</x:v>
      </x:c>
      <x:c r="AA36" s="22" t="n">
        <x:f>SUM(AA33:AA35)</x:f>
        <x:v>1755000</x:v>
      </x:c>
      <x:c r="AB36" s="22" t="n">
        <x:f>SUM(AB33:AB35)</x:f>
        <x:v>1755000</x:v>
      </x:c>
      <x:c r="AC36" s="22" t="n">
        <x:f>SUM(AC33:AC35)</x:f>
        <x:v>1755000</x:v>
      </x:c>
      <x:c r="AD36" s="22" t="n">
        <x:f>SUM(AD33:AD35)</x:f>
        <x:v>1755000</x:v>
      </x:c>
      <x:c r="AE36" s="22" t="n">
        <x:f>SUM(AE33:AE35)</x:f>
        <x:v>1755000</x:v>
      </x:c>
      <x:c r="AF36" s="22" t="n">
        <x:f>SUM(AF33:AF35)</x:f>
        <x:v>1755000</x:v>
      </x:c>
      <x:c r="AG36" s="22" t="n">
        <x:f>SUM(AG33:AG35)</x:f>
        <x:v>1755000</x:v>
      </x:c>
      <x:c r="AH36" s="22" t="n">
        <x:f>SUM(AH33:AH35)</x:f>
        <x:v>1755000</x:v>
      </x:c>
      <x:c r="AI36" s="22" t="n">
        <x:f>SUM(AI33:AI35)</x:f>
        <x:v>1755000</x:v>
      </x:c>
      <x:c r="AJ36" s="22" t="n">
        <x:f>SUM(AJ33:AJ35)</x:f>
        <x:v>1755000</x:v>
      </x:c>
      <x:c r="AK36" s="22" t="n">
        <x:f>SUM(AK33:AK35)</x:f>
        <x:v>1755000</x:v>
      </x:c>
    </x:row>
    <x:row r="37">
      <x:c r="A37" s="7" t="inlineStr">
        <x:is>
          <x:t xml:space="preserve">Cost: build</x:t>
        </x:is>
      </x:c>
      <x:c r="B37" s="20" t="n">
        <x:f>IF(B$30&lt;=3,Build!$D$28/3,0)</x:f>
        <x:v>2437523.8095238097</x:v>
      </x:c>
      <x:c r="C37" s="20" t="n">
        <x:f>IF(C$30&lt;=3,Build!$D$28/3,0)</x:f>
        <x:v>2437523.8095238097</x:v>
      </x:c>
      <x:c r="D37" s="20" t="n">
        <x:f>IF(D$30&lt;=3,Build!$D$28/3,0)</x:f>
        <x:v>2437523.8095238097</x:v>
      </x:c>
      <x:c r="E37" s="20" t="n">
        <x:f>IF(E$30&lt;=3,Build!$D$28/3,0)</x:f>
        <x:v>0</x:v>
      </x:c>
      <x:c r="F37" s="20" t="n">
        <x:f>IF(F$30&lt;=3,Build!$D$28/3,0)</x:f>
        <x:v>0</x:v>
      </x:c>
      <x:c r="G37" s="20" t="n">
        <x:f>IF(G$30&lt;=3,Build!$D$28/3,0)</x:f>
        <x:v>0</x:v>
      </x:c>
      <x:c r="H37" s="20" t="n">
        <x:f>IF(H$30&lt;=3,Build!$D$28/3,0)</x:f>
        <x:v>0</x:v>
      </x:c>
      <x:c r="I37" s="20" t="n">
        <x:f>IF(I$30&lt;=3,Build!$D$28/3,0)</x:f>
        <x:v>0</x:v>
      </x:c>
      <x:c r="J37" s="20" t="n">
        <x:f>IF(J$30&lt;=3,Build!$D$28/3,0)</x:f>
        <x:v>0</x:v>
      </x:c>
      <x:c r="K37" s="20" t="n">
        <x:f>IF(K$30&lt;=3,Build!$D$28/3,0)</x:f>
        <x:v>0</x:v>
      </x:c>
      <x:c r="L37" s="20" t="n">
        <x:f>IF(L$30&lt;=3,Build!$D$28/3,0)</x:f>
        <x:v>0</x:v>
      </x:c>
      <x:c r="M37" s="20" t="n">
        <x:f>IF(M$30&lt;=3,Build!$D$28/3,0)</x:f>
        <x:v>0</x:v>
      </x:c>
      <x:c r="N37" s="20" t="n">
        <x:f>IF(N$30&lt;=3,Build!$D$28/3,0)</x:f>
        <x:v>0</x:v>
      </x:c>
      <x:c r="O37" s="20" t="n">
        <x:f>IF(O$30&lt;=3,Build!$D$28/3,0)</x:f>
        <x:v>0</x:v>
      </x:c>
      <x:c r="P37" s="20" t="n">
        <x:f>IF(P$30&lt;=3,Build!$D$28/3,0)</x:f>
        <x:v>0</x:v>
      </x:c>
      <x:c r="Q37" s="20" t="n">
        <x:f>IF(Q$30&lt;=3,Build!$D$28/3,0)</x:f>
        <x:v>0</x:v>
      </x:c>
      <x:c r="R37" s="20" t="n">
        <x:f>IF(R$30&lt;=3,Build!$D$28/3,0)</x:f>
        <x:v>0</x:v>
      </x:c>
      <x:c r="S37" s="20" t="n">
        <x:f>IF(S$30&lt;=3,Build!$D$28/3,0)</x:f>
        <x:v>0</x:v>
      </x:c>
      <x:c r="T37" s="20" t="n">
        <x:f>IF(T$30&lt;=3,Build!$D$28/3,0)</x:f>
        <x:v>0</x:v>
      </x:c>
      <x:c r="U37" s="20" t="n">
        <x:f>IF(U$30&lt;=3,Build!$D$28/3,0)</x:f>
        <x:v>0</x:v>
      </x:c>
      <x:c r="V37" s="20" t="n">
        <x:f>IF(V$30&lt;=3,Build!$D$28/3,0)</x:f>
        <x:v>0</x:v>
      </x:c>
      <x:c r="W37" s="20" t="n">
        <x:f>IF(W$30&lt;=3,Build!$D$28/3,0)</x:f>
        <x:v>0</x:v>
      </x:c>
      <x:c r="X37" s="20" t="n">
        <x:f>IF(X$30&lt;=3,Build!$D$28/3,0)</x:f>
        <x:v>0</x:v>
      </x:c>
      <x:c r="Y37" s="20" t="n">
        <x:f>IF(Y$30&lt;=3,Build!$D$28/3,0)</x:f>
        <x:v>0</x:v>
      </x:c>
      <x:c r="Z37" s="20" t="n">
        <x:f>IF(Z$30&lt;=3,Build!$D$28/3,0)</x:f>
        <x:v>0</x:v>
      </x:c>
      <x:c r="AA37" s="20" t="n">
        <x:f>IF(AA$30&lt;=3,Build!$D$28/3,0)</x:f>
        <x:v>0</x:v>
      </x:c>
      <x:c r="AB37" s="20" t="n">
        <x:f>IF(AB$30&lt;=3,Build!$D$28/3,0)</x:f>
        <x:v>0</x:v>
      </x:c>
      <x:c r="AC37" s="20" t="n">
        <x:f>IF(AC$30&lt;=3,Build!$D$28/3,0)</x:f>
        <x:v>0</x:v>
      </x:c>
      <x:c r="AD37" s="20" t="n">
        <x:f>IF(AD$30&lt;=3,Build!$D$28/3,0)</x:f>
        <x:v>0</x:v>
      </x:c>
      <x:c r="AE37" s="20" t="n">
        <x:f>IF(AE$30&lt;=3,Build!$D$28/3,0)</x:f>
        <x:v>0</x:v>
      </x:c>
      <x:c r="AF37" s="20" t="n">
        <x:f>IF(AF$30&lt;=3,Build!$D$28/3,0)</x:f>
        <x:v>0</x:v>
      </x:c>
      <x:c r="AG37" s="20" t="n">
        <x:f>IF(AG$30&lt;=3,Build!$D$28/3,0)</x:f>
        <x:v>0</x:v>
      </x:c>
      <x:c r="AH37" s="20" t="n">
        <x:f>IF(AH$30&lt;=3,Build!$D$28/3,0)</x:f>
        <x:v>0</x:v>
      </x:c>
      <x:c r="AI37" s="20" t="n">
        <x:f>IF(AI$30&lt;=3,Build!$D$28/3,0)</x:f>
        <x:v>0</x:v>
      </x:c>
      <x:c r="AJ37" s="20" t="n">
        <x:f>IF(AJ$30&lt;=3,Build!$D$28/3,0)</x:f>
        <x:v>0</x:v>
      </x:c>
      <x:c r="AK37" s="20" t="n">
        <x:f>IF(AK$30&lt;=3,Build!$D$28/3,0)</x:f>
        <x:v>0</x:v>
      </x:c>
    </x:row>
    <x:row r="38">
      <x:c r="A38" s="7" t="inlineStr">
        <x:is>
          <x:t xml:space="preserve">Cost: run</x:t>
        </x:is>
      </x:c>
      <x:c r="B38" s="33" t="n">
        <x:f>Run!B21</x:f>
        <x:v>0</x:v>
      </x:c>
      <x:c r="C38" s="33" t="n">
        <x:f>Run!C21</x:f>
        <x:v>0</x:v>
      </x:c>
      <x:c r="D38" s="33" t="n">
        <x:f>Run!D21</x:f>
        <x:v>0</x:v>
      </x:c>
      <x:c r="E38" s="33" t="n">
        <x:f>Run!E21</x:f>
        <x:v>743891.9648</x:v>
      </x:c>
      <x:c r="F38" s="33" t="n">
        <x:f>Run!F21</x:f>
        <x:v>743891.9648</x:v>
      </x:c>
      <x:c r="G38" s="33" t="n">
        <x:f>Run!G21</x:f>
        <x:v>743891.9648</x:v>
      </x:c>
      <x:c r="H38" s="33" t="n">
        <x:f>Run!H21</x:f>
        <x:v>938169.4208</x:v>
      </x:c>
      <x:c r="I38" s="33" t="n">
        <x:f>Run!I21</x:f>
        <x:v>938169.4208</x:v>
      </x:c>
      <x:c r="J38" s="33" t="n">
        <x:f>Run!J21</x:f>
        <x:v>938169.4208</x:v>
      </x:c>
      <x:c r="K38" s="33" t="n">
        <x:f>Run!K21</x:f>
        <x:v>938169.4208</x:v>
      </x:c>
      <x:c r="L38" s="33" t="n">
        <x:f>Run!L21</x:f>
        <x:v>938169.4208</x:v>
      </x:c>
      <x:c r="M38" s="33" t="n">
        <x:f>Run!M21</x:f>
        <x:v>938169.4208</x:v>
      </x:c>
      <x:c r="N38" s="33" t="n">
        <x:f>Run!N21</x:f>
        <x:v>1112742.368</x:v>
      </x:c>
      <x:c r="O38" s="33" t="n">
        <x:f>Run!O21</x:f>
        <x:v>1112742.368</x:v>
      </x:c>
      <x:c r="P38" s="33" t="n">
        <x:f>Run!P21</x:f>
        <x:v>1112742.368</x:v>
      </x:c>
      <x:c r="Q38" s="33" t="n">
        <x:f>Run!Q21</x:f>
        <x:v>1112742.368</x:v>
      </x:c>
      <x:c r="R38" s="33" t="n">
        <x:f>Run!R21</x:f>
        <x:v>1112742.368</x:v>
      </x:c>
      <x:c r="S38" s="33" t="n">
        <x:f>Run!S21</x:f>
        <x:v>1112742.368</x:v>
      </x:c>
      <x:c r="T38" s="33" t="n">
        <x:f>Run!T21</x:f>
        <x:v>1112742.368</x:v>
      </x:c>
      <x:c r="U38" s="33" t="n">
        <x:f>Run!U21</x:f>
        <x:v>1112742.368</x:v>
      </x:c>
      <x:c r="V38" s="33" t="n">
        <x:f>Run!V21</x:f>
        <x:v>1112742.368</x:v>
      </x:c>
      <x:c r="W38" s="33" t="n">
        <x:f>Run!W21</x:f>
        <x:v>1112742.368</x:v>
      </x:c>
      <x:c r="X38" s="33" t="n">
        <x:f>Run!X21</x:f>
        <x:v>1112742.368</x:v>
      </x:c>
      <x:c r="Y38" s="33" t="n">
        <x:f>Run!Y21</x:f>
        <x:v>1112742.368</x:v>
      </x:c>
      <x:c r="Z38" s="33" t="n">
        <x:f>Run!Z21</x:f>
        <x:v>1112742.368</x:v>
      </x:c>
      <x:c r="AA38" s="33" t="n">
        <x:f>Run!AA21</x:f>
        <x:v>1112742.368</x:v>
      </x:c>
      <x:c r="AB38" s="33" t="n">
        <x:f>Run!AB21</x:f>
        <x:v>1112742.368</x:v>
      </x:c>
      <x:c r="AC38" s="33" t="n">
        <x:f>Run!AC21</x:f>
        <x:v>1112742.368</x:v>
      </x:c>
      <x:c r="AD38" s="33" t="n">
        <x:f>Run!AD21</x:f>
        <x:v>1112742.368</x:v>
      </x:c>
      <x:c r="AE38" s="33" t="n">
        <x:f>Run!AE21</x:f>
        <x:v>1112742.368</x:v>
      </x:c>
      <x:c r="AF38" s="33" t="n">
        <x:f>Run!AF21</x:f>
        <x:v>1112742.368</x:v>
      </x:c>
      <x:c r="AG38" s="33" t="n">
        <x:f>Run!AG21</x:f>
        <x:v>1112742.368</x:v>
      </x:c>
      <x:c r="AH38" s="33" t="n">
        <x:f>Run!AH21</x:f>
        <x:v>1112742.368</x:v>
      </x:c>
      <x:c r="AI38" s="33" t="n">
        <x:f>Run!AI21</x:f>
        <x:v>1112742.368</x:v>
      </x:c>
      <x:c r="AJ38" s="33" t="n">
        <x:f>Run!AJ21</x:f>
        <x:v>1112742.368</x:v>
      </x:c>
      <x:c r="AK38" s="33" t="n">
        <x:f>Run!AK21</x:f>
        <x:v>1112742.368</x:v>
      </x:c>
    </x:row>
    <x:row r="39">
      <x:c r="A39" s="7" t="inlineStr">
        <x:is>
          <x:t xml:space="preserve">Cost: rollout services</x:t>
        </x:is>
      </x:c>
      <x:c r="B39" s="20" t="n">
        <x:f>B35*Assumptions!$B$68</x:f>
        <x:v>0</x:v>
      </x:c>
      <x:c r="C39" s="20" t="n">
        <x:f>C35*Assumptions!$B$68</x:f>
        <x:v>0</x:v>
      </x:c>
      <x:c r="D39" s="20" t="n">
        <x:f>D35*Assumptions!$B$68</x:f>
        <x:v>0</x:v>
      </x:c>
      <x:c r="E39" s="20" t="n">
        <x:f>E35*Assumptions!$B$68</x:f>
        <x:v>0</x:v>
      </x:c>
      <x:c r="F39" s="20" t="n">
        <x:f>F35*Assumptions!$B$68</x:f>
        <x:v>0</x:v>
      </x:c>
      <x:c r="G39" s="20" t="n">
        <x:f>G35*Assumptions!$B$68</x:f>
        <x:v>0</x:v>
      </x:c>
      <x:c r="H39" s="20" t="n">
        <x:f>H35*Assumptions!$B$68</x:f>
        <x:v>3000000</x:v>
      </x:c>
      <x:c r="I39" s="20" t="n">
        <x:f>I35*Assumptions!$B$68</x:f>
        <x:v>0</x:v>
      </x:c>
      <x:c r="J39" s="20" t="n">
        <x:f>J35*Assumptions!$B$68</x:f>
        <x:v>0</x:v>
      </x:c>
      <x:c r="K39" s="20" t="n">
        <x:f>K35*Assumptions!$B$68</x:f>
        <x:v>0</x:v>
      </x:c>
      <x:c r="L39" s="20" t="n">
        <x:f>L35*Assumptions!$B$68</x:f>
        <x:v>0</x:v>
      </x:c>
      <x:c r="M39" s="20" t="n">
        <x:f>M35*Assumptions!$B$68</x:f>
        <x:v>0</x:v>
      </x:c>
      <x:c r="N39" s="20" t="n">
        <x:f>N35*Assumptions!$B$68</x:f>
        <x:v>4500000</x:v>
      </x:c>
      <x:c r="O39" s="20" t="n">
        <x:f>O35*Assumptions!$B$68</x:f>
        <x:v>0</x:v>
      </x:c>
      <x:c r="P39" s="20" t="n">
        <x:f>P35*Assumptions!$B$68</x:f>
        <x:v>0</x:v>
      </x:c>
      <x:c r="Q39" s="20" t="n">
        <x:f>Q35*Assumptions!$B$68</x:f>
        <x:v>0</x:v>
      </x:c>
      <x:c r="R39" s="20" t="n">
        <x:f>R35*Assumptions!$B$68</x:f>
        <x:v>0</x:v>
      </x:c>
      <x:c r="S39" s="20" t="n">
        <x:f>S35*Assumptions!$B$68</x:f>
        <x:v>0</x:v>
      </x:c>
      <x:c r="T39" s="20" t="n">
        <x:f>T35*Assumptions!$B$68</x:f>
        <x:v>0</x:v>
      </x:c>
      <x:c r="U39" s="20" t="n">
        <x:f>U35*Assumptions!$B$68</x:f>
        <x:v>0</x:v>
      </x:c>
      <x:c r="V39" s="20" t="n">
        <x:f>V35*Assumptions!$B$68</x:f>
        <x:v>0</x:v>
      </x:c>
      <x:c r="W39" s="20" t="n">
        <x:f>W35*Assumptions!$B$68</x:f>
        <x:v>0</x:v>
      </x:c>
      <x:c r="X39" s="20" t="n">
        <x:f>X35*Assumptions!$B$68</x:f>
        <x:v>0</x:v>
      </x:c>
      <x:c r="Y39" s="20" t="n">
        <x:f>Y35*Assumptions!$B$68</x:f>
        <x:v>0</x:v>
      </x:c>
      <x:c r="Z39" s="20" t="n">
        <x:f>Z35*Assumptions!$B$68</x:f>
        <x:v>0</x:v>
      </x:c>
      <x:c r="AA39" s="20" t="n">
        <x:f>AA35*Assumptions!$B$68</x:f>
        <x:v>0</x:v>
      </x:c>
      <x:c r="AB39" s="20" t="n">
        <x:f>AB35*Assumptions!$B$68</x:f>
        <x:v>0</x:v>
      </x:c>
      <x:c r="AC39" s="20" t="n">
        <x:f>AC35*Assumptions!$B$68</x:f>
        <x:v>0</x:v>
      </x:c>
      <x:c r="AD39" s="20" t="n">
        <x:f>AD35*Assumptions!$B$68</x:f>
        <x:v>0</x:v>
      </x:c>
      <x:c r="AE39" s="20" t="n">
        <x:f>AE35*Assumptions!$B$68</x:f>
        <x:v>0</x:v>
      </x:c>
      <x:c r="AF39" s="20" t="n">
        <x:f>AF35*Assumptions!$B$68</x:f>
        <x:v>0</x:v>
      </x:c>
      <x:c r="AG39" s="20" t="n">
        <x:f>AG35*Assumptions!$B$68</x:f>
        <x:v>0</x:v>
      </x:c>
      <x:c r="AH39" s="20" t="n">
        <x:f>AH35*Assumptions!$B$68</x:f>
        <x:v>0</x:v>
      </x:c>
      <x:c r="AI39" s="20" t="n">
        <x:f>AI35*Assumptions!$B$68</x:f>
        <x:v>0</x:v>
      </x:c>
      <x:c r="AJ39" s="20" t="n">
        <x:f>AJ35*Assumptions!$B$68</x:f>
        <x:v>0</x:v>
      </x:c>
      <x:c r="AK39" s="20" t="n">
        <x:f>AK35*Assumptions!$B$68</x:f>
        <x:v>0</x:v>
      </x:c>
    </x:row>
    <x:row r="40">
      <x:c r="A40" s="7" t="inlineStr">
        <x:is>
          <x:t xml:space="preserve">Total cost</x:t>
        </x:is>
      </x:c>
      <x:c r="B40" s="20" t="n">
        <x:f>SUM(B37:B39)</x:f>
        <x:v>2437523.8095238097</x:v>
      </x:c>
      <x:c r="C40" s="20" t="n">
        <x:f>SUM(C37:C39)</x:f>
        <x:v>2437523.8095238097</x:v>
      </x:c>
      <x:c r="D40" s="20" t="n">
        <x:f>SUM(D37:D39)</x:f>
        <x:v>2437523.8095238097</x:v>
      </x:c>
      <x:c r="E40" s="20" t="n">
        <x:f>SUM(E37:E39)</x:f>
        <x:v>743891.9648</x:v>
      </x:c>
      <x:c r="F40" s="20" t="n">
        <x:f>SUM(F37:F39)</x:f>
        <x:v>743891.9648</x:v>
      </x:c>
      <x:c r="G40" s="20" t="n">
        <x:f>SUM(G37:G39)</x:f>
        <x:v>743891.9648</x:v>
      </x:c>
      <x:c r="H40" s="20" t="n">
        <x:f>SUM(H37:H39)</x:f>
        <x:v>3938169.4208</x:v>
      </x:c>
      <x:c r="I40" s="20" t="n">
        <x:f>SUM(I37:I39)</x:f>
        <x:v>938169.4208</x:v>
      </x:c>
      <x:c r="J40" s="20" t="n">
        <x:f>SUM(J37:J39)</x:f>
        <x:v>938169.4208</x:v>
      </x:c>
      <x:c r="K40" s="20" t="n">
        <x:f>SUM(K37:K39)</x:f>
        <x:v>938169.4208</x:v>
      </x:c>
      <x:c r="L40" s="20" t="n">
        <x:f>SUM(L37:L39)</x:f>
        <x:v>938169.4208</x:v>
      </x:c>
      <x:c r="M40" s="20" t="n">
        <x:f>SUM(M37:M39)</x:f>
        <x:v>938169.4208</x:v>
      </x:c>
      <x:c r="N40" s="20" t="n">
        <x:f>SUM(N37:N39)</x:f>
        <x:v>5612742.368</x:v>
      </x:c>
      <x:c r="O40" s="20" t="n">
        <x:f>SUM(O37:O39)</x:f>
        <x:v>1112742.368</x:v>
      </x:c>
      <x:c r="P40" s="20" t="n">
        <x:f>SUM(P37:P39)</x:f>
        <x:v>1112742.368</x:v>
      </x:c>
      <x:c r="Q40" s="20" t="n">
        <x:f>SUM(Q37:Q39)</x:f>
        <x:v>1112742.368</x:v>
      </x:c>
      <x:c r="R40" s="20" t="n">
        <x:f>SUM(R37:R39)</x:f>
        <x:v>1112742.368</x:v>
      </x:c>
      <x:c r="S40" s="20" t="n">
        <x:f>SUM(S37:S39)</x:f>
        <x:v>1112742.368</x:v>
      </x:c>
      <x:c r="T40" s="20" t="n">
        <x:f>SUM(T37:T39)</x:f>
        <x:v>1112742.368</x:v>
      </x:c>
      <x:c r="U40" s="20" t="n">
        <x:f>SUM(U37:U39)</x:f>
        <x:v>1112742.368</x:v>
      </x:c>
      <x:c r="V40" s="20" t="n">
        <x:f>SUM(V37:V39)</x:f>
        <x:v>1112742.368</x:v>
      </x:c>
      <x:c r="W40" s="20" t="n">
        <x:f>SUM(W37:W39)</x:f>
        <x:v>1112742.368</x:v>
      </x:c>
      <x:c r="X40" s="20" t="n">
        <x:f>SUM(X37:X39)</x:f>
        <x:v>1112742.368</x:v>
      </x:c>
      <x:c r="Y40" s="20" t="n">
        <x:f>SUM(Y37:Y39)</x:f>
        <x:v>1112742.368</x:v>
      </x:c>
      <x:c r="Z40" s="20" t="n">
        <x:f>SUM(Z37:Z39)</x:f>
        <x:v>1112742.368</x:v>
      </x:c>
      <x:c r="AA40" s="20" t="n">
        <x:f>SUM(AA37:AA39)</x:f>
        <x:v>1112742.368</x:v>
      </x:c>
      <x:c r="AB40" s="20" t="n">
        <x:f>SUM(AB37:AB39)</x:f>
        <x:v>1112742.368</x:v>
      </x:c>
      <x:c r="AC40" s="20" t="n">
        <x:f>SUM(AC37:AC39)</x:f>
        <x:v>1112742.368</x:v>
      </x:c>
      <x:c r="AD40" s="20" t="n">
        <x:f>SUM(AD37:AD39)</x:f>
        <x:v>1112742.368</x:v>
      </x:c>
      <x:c r="AE40" s="20" t="n">
        <x:f>SUM(AE37:AE39)</x:f>
        <x:v>1112742.368</x:v>
      </x:c>
      <x:c r="AF40" s="20" t="n">
        <x:f>SUM(AF37:AF39)</x:f>
        <x:v>1112742.368</x:v>
      </x:c>
      <x:c r="AG40" s="20" t="n">
        <x:f>SUM(AG37:AG39)</x:f>
        <x:v>1112742.368</x:v>
      </x:c>
      <x:c r="AH40" s="20" t="n">
        <x:f>SUM(AH37:AH39)</x:f>
        <x:v>1112742.368</x:v>
      </x:c>
      <x:c r="AI40" s="20" t="n">
        <x:f>SUM(AI37:AI39)</x:f>
        <x:v>1112742.368</x:v>
      </x:c>
      <x:c r="AJ40" s="20" t="n">
        <x:f>SUM(AJ37:AJ39)</x:f>
        <x:v>1112742.368</x:v>
      </x:c>
      <x:c r="AK40" s="20" t="n">
        <x:f>SUM(AK37:AK39)</x:f>
        <x:v>1112742.368</x:v>
      </x:c>
    </x:row>
    <x:row r="41">
      <x:c r="A41" s="18" t="inlineStr">
        <x:is>
          <x:t xml:space="preserve">Gross profit</x:t>
        </x:is>
      </x:c>
      <x:c r="B41" s="22" t="n">
        <x:f>B36-B40</x:f>
        <x:v>2212476.1904761903</x:v>
      </x:c>
      <x:c r="C41" s="22" t="n">
        <x:f>C36-C40</x:f>
        <x:v>2212476.1904761903</x:v>
      </x:c>
      <x:c r="D41" s="22" t="n">
        <x:f>D36-D40</x:f>
        <x:v>3762476.1904761903</x:v>
      </x:c>
      <x:c r="E41" s="22" t="n">
        <x:f>E36-E40</x:f>
        <x:v>-275891.96479999996</x:v>
      </x:c>
      <x:c r="F41" s="22" t="n">
        <x:f>F36-F40</x:f>
        <x:v>-275891.96479999996</x:v>
      </x:c>
      <x:c r="G41" s="22" t="n">
        <x:f>G36-G40</x:f>
        <x:v>-275891.96479999996</x:v>
      </x:c>
      <x:c r="H41" s="22" t="n">
        <x:f>H36-H40</x:f>
        <x:v>3114830.5792</x:v>
      </x:c>
      <x:c r="I41" s="22" t="n">
        <x:f>I36-I40</x:f>
        <x:v>114830.57920000004</x:v>
      </x:c>
      <x:c r="J41" s="22" t="n">
        <x:f>J36-J40</x:f>
        <x:v>114830.57920000004</x:v>
      </x:c>
      <x:c r="K41" s="22" t="n">
        <x:f>K36-K40</x:f>
        <x:v>114830.57920000004</x:v>
      </x:c>
      <x:c r="L41" s="22" t="n">
        <x:f>L36-L40</x:f>
        <x:v>114830.57920000004</x:v>
      </x:c>
      <x:c r="M41" s="22" t="n">
        <x:f>M36-M40</x:f>
        <x:v>114830.57920000004</x:v>
      </x:c>
      <x:c r="N41" s="22" t="n">
        <x:f>N36-N40</x:f>
        <x:v>5142257.632</x:v>
      </x:c>
      <x:c r="O41" s="22" t="n">
        <x:f>O36-O40</x:f>
        <x:v>642257.632</x:v>
      </x:c>
      <x:c r="P41" s="22" t="n">
        <x:f>P36-P40</x:f>
        <x:v>642257.632</x:v>
      </x:c>
      <x:c r="Q41" s="22" t="n">
        <x:f>Q36-Q40</x:f>
        <x:v>642257.632</x:v>
      </x:c>
      <x:c r="R41" s="22" t="n">
        <x:f>R36-R40</x:f>
        <x:v>642257.632</x:v>
      </x:c>
      <x:c r="S41" s="22" t="n">
        <x:f>S36-S40</x:f>
        <x:v>642257.632</x:v>
      </x:c>
      <x:c r="T41" s="22" t="n">
        <x:f>T36-T40</x:f>
        <x:v>642257.632</x:v>
      </x:c>
      <x:c r="U41" s="22" t="n">
        <x:f>U36-U40</x:f>
        <x:v>642257.632</x:v>
      </x:c>
      <x:c r="V41" s="22" t="n">
        <x:f>V36-V40</x:f>
        <x:v>642257.632</x:v>
      </x:c>
      <x:c r="W41" s="22" t="n">
        <x:f>W36-W40</x:f>
        <x:v>642257.632</x:v>
      </x:c>
      <x:c r="X41" s="22" t="n">
        <x:f>X36-X40</x:f>
        <x:v>642257.632</x:v>
      </x:c>
      <x:c r="Y41" s="22" t="n">
        <x:f>Y36-Y40</x:f>
        <x:v>642257.632</x:v>
      </x:c>
      <x:c r="Z41" s="22" t="n">
        <x:f>Z36-Z40</x:f>
        <x:v>642257.632</x:v>
      </x:c>
      <x:c r="AA41" s="22" t="n">
        <x:f>AA36-AA40</x:f>
        <x:v>642257.632</x:v>
      </x:c>
      <x:c r="AB41" s="22" t="n">
        <x:f>AB36-AB40</x:f>
        <x:v>642257.632</x:v>
      </x:c>
      <x:c r="AC41" s="22" t="n">
        <x:f>AC36-AC40</x:f>
        <x:v>642257.632</x:v>
      </x:c>
      <x:c r="AD41" s="22" t="n">
        <x:f>AD36-AD40</x:f>
        <x:v>642257.632</x:v>
      </x:c>
      <x:c r="AE41" s="22" t="n">
        <x:f>AE36-AE40</x:f>
        <x:v>642257.632</x:v>
      </x:c>
      <x:c r="AF41" s="22" t="n">
        <x:f>AF36-AF40</x:f>
        <x:v>642257.632</x:v>
      </x:c>
      <x:c r="AG41" s="22" t="n">
        <x:f>AG36-AG40</x:f>
        <x:v>642257.632</x:v>
      </x:c>
      <x:c r="AH41" s="22" t="n">
        <x:f>AH36-AH40</x:f>
        <x:v>642257.632</x:v>
      </x:c>
      <x:c r="AI41" s="22" t="n">
        <x:f>AI36-AI40</x:f>
        <x:v>642257.632</x:v>
      </x:c>
      <x:c r="AJ41" s="22" t="n">
        <x:f>AJ36-AJ40</x:f>
        <x:v>642257.632</x:v>
      </x:c>
      <x:c r="AK41" s="22" t="n">
        <x:f>AK36-AK40</x:f>
        <x:v>642257.632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4" customWidth="1"/>
    <x:col min="2" max="2" width="22" customWidth="1"/>
    <x:col min="3" max="3" width="22" customWidth="1"/>
    <x:col min="4" max="4" width="60" customWidth="1"/>
  </x:cols>
  <x:sheetData>
    <x:row r="1">
      <x:c r="A1" s="1" t="inlineStr">
        <x:is>
          <x:t xml:space="preserve">AI cost per message and per user</x:t>
        </x:is>
      </x:c>
    </x:row>
    <x:row r="2">
      <x:c r="A2" s="2" t="inlineStr">
        <x:is>
          <x:t xml:space="preserve">Why model choice matters less than people costs. Full scale = 45,000 enrolled.</x:t>
        </x:is>
      </x:c>
    </x:row>
    <x:row r="4">
      <x:c r="A4" s="4" t="inlineStr">
        <x:is>
          <x:t xml:space="preserve">Item</x:t>
        </x:is>
      </x:c>
      <x:c r="B4" s="4" t="inlineStr">
        <x:is>
          <x:t xml:space="preserve">Sonnet 5.5 coach (base)</x:t>
        </x:is>
      </x:c>
      <x:c r="C4" s="4" t="inlineStr">
        <x:is>
          <x:t xml:space="preserve">Opus 5.5 coach</x:t>
        </x:is>
      </x:c>
      <x:c r="D4" s="4" t="inlineStr">
        <x:is>
          <x:t xml:space="preserve">Note</x:t>
        </x:is>
      </x:c>
    </x:row>
    <x:row r="5">
      <x:c r="A5" s="7" t="inlineStr">
        <x:is>
          <x:t xml:space="preserve">Coach cost per message (USD)</x:t>
        </x:is>
      </x:c>
      <x:c r="B5" s="26" t="n">
        <x:f>(Assumptions!$B$22*Assumptions!$B$33+Assumptions!$B$23*Assumptions!$B$35+Assumptions!$B$24*Assumptions!$B$34)/1000000</x:f>
        <x:v>0.01034</x:v>
      </x:c>
      <x:c r="C5" s="26" t="n">
        <x:f>(Assumptions!$B$22*Assumptions!$B$36+Assumptions!$B$23*Assumptions!$B$35+Assumptions!$B$24*Assumptions!$B$37)/1000000</x:f>
        <x:v>0.02044</x:v>
      </x:c>
    </x:row>
    <x:row r="6">
      <x:c r="A6" s="7" t="inlineStr">
        <x:is>
          <x:t xml:space="preserve">Classifier cost per message (USD)</x:t>
        </x:is>
      </x:c>
      <x:c r="B6" s="26" t="n">
        <x:f>(Assumptions!$B$25*Assumptions!$B$38+Assumptions!$B$26*Assumptions!$B$39)/1000000</x:f>
        <x:v>0.00009</x:v>
      </x:c>
      <x:c r="C6" s="26" t="n">
        <x:f>B6</x:f>
        <x:v>0.00009</x:v>
      </x:c>
    </x:row>
    <x:row r="7">
      <x:c r="A7" s="7" t="inlineStr">
        <x:is>
          <x:t xml:space="preserve">Per coach active user per month (THB, incl. contingency)</x:t>
        </x:is>
      </x:c>
      <x:c r="B7" s="19" t="n">
        <x:f>(B5+B6)*Assumptions!$B$19*(1+Assumptions!$B$41)*Assumptions!$B$6</x:f>
        <x:v>5.532071999999999</x:v>
      </x:c>
      <x:c r="C7" s="19" t="n">
        <x:f>(C5+C6)*Assumptions!$B$19*(1+Assumptions!$B$41)*Assumptions!$B$6</x:f>
        <x:v>10.889112</x:v>
      </x:c>
    </x:row>
    <x:row r="8">
      <x:c r="A8" s="7" t="inlineStr">
        <x:is>
          <x:t xml:space="preserve">Coach active users at full scale</x:t>
        </x:is>
      </x:c>
      <x:c r="B8" s="20" t="n">
        <x:f>(Assumptions!$B$11+Assumptions!$B$13+Assumptions!$B$15)*Assumptions!$B$18</x:f>
        <x:v>20250</x:v>
      </x:c>
      <x:c r="C8" s="20" t="n">
        <x:f>B8</x:f>
        <x:v>20250</x:v>
      </x:c>
    </x:row>
    <x:row r="9">
      <x:c r="A9" s="7" t="inlineStr">
        <x:is>
          <x:t xml:space="preserve">Coach LLM cost per year at full scale (THB)</x:t>
        </x:is>
      </x:c>
      <x:c r="B9" s="20" t="n">
        <x:f>B7*B8*12</x:f>
        <x:v>1344293.4959999998</x:v>
      </x:c>
      <x:c r="C9" s="20" t="n">
        <x:f>C7*C8*12</x:f>
        <x:v>2646054.216</x:v>
      </x:c>
    </x:row>
    <x:row r="10">
      <x:c r="A10" s="7" t="inlineStr">
        <x:is>
          <x:t xml:space="preserve">Share of full-scale run cost</x:t>
        </x:is>
      </x:c>
      <x:c r="B10" s="30" t="n">
        <x:f>B9/(Run!AK21*12)</x:f>
        <x:v>0.10067420925236126</x:v>
      </x:c>
      <x:c r="C10" s="30" t="n">
        <x:f>C9/(Run!AK21*12-B9+C9)</x:f>
        <x:v>0.18056048836338598</x:v>
      </x:c>
    </x:row>
    <x:row r="12">
      <x:c r="A12" s="9" t="inlineStr">
        <x:is>
          <x:t xml:space="preserve">Decision rule: route coaching to the cheaper model only if it passes the same eval gate (groundedness &gt;= 95%, Thai quality &gt;= 4/5, 100% red-team). Price is not the deciding factor at this scale.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16" customWidth="1"/>
    <x:col min="3" max="3" width="16" customWidth="1"/>
    <x:col min="4" max="4" width="70" customWidth="1"/>
  </x:cols>
  <x:sheetData>
    <x:row r="1">
      <x:c r="A1" s="1" t="inlineStr">
        <x:is>
          <x:t xml:space="preserve">Value case for the client (illustrative, full scale per year)</x:t>
        </x:is>
      </x:c>
    </x:row>
    <x:row r="2">
      <x:c r="A2" s="2" t="inlineStr">
        <x:is>
          <x:t xml:space="preserve">Inputs in blue are assumptions to validate with the client's finance team in week 1-2.</x:t>
        </x:is>
      </x:c>
    </x:row>
    <x:row r="4">
      <x:c r="A4" s="4" t="inlineStr">
        <x:is>
          <x:t xml:space="preserve">Lever</x:t>
        </x:is>
      </x:c>
      <x:c r="B4" s="4" t="inlineStr">
        <x:is>
          <x:t xml:space="preserve">Input</x:t>
        </x:is>
      </x:c>
      <x:c r="C4" s="4" t="inlineStr">
        <x:is>
          <x:t xml:space="preserve">Value</x:t>
        </x:is>
      </x:c>
      <x:c r="D4" s="4" t="inlineStr">
        <x:is>
          <x:t xml:space="preserve">Unit / note</x:t>
        </x:is>
      </x:c>
    </x:row>
    <x:row r="5">
      <x:c r="A5" s="7" t="inlineStr">
        <x:is>
          <x:t xml:space="preserve">Current L&amp;D spend (45,000 people)</x:t>
        </x:is>
      </x:c>
      <x:c r="B5" s="20" t="n">
        <x:f>(Assumptions!$B$11+Assumptions!$B$13+Assumptions!$B$15)*Assumptions!$B$9</x:f>
        <x:v>148500000</x:v>
      </x:c>
      <x:c r="D5" s="10" t="inlineStr">
        <x:is>
          <x:t xml:space="preserve">THB / yr</x:t>
        </x:is>
      </x:c>
    </x:row>
    <x:row r="6">
      <x:c r="A6" s="7" t="inlineStr">
        <x:is>
          <x:t xml:space="preserve">Share of L&amp;D spend redirected to skill gaps</x:t>
        </x:is>
      </x:c>
      <x:c r="B6" s="15" t="n">
        <x:v>0.1</x:v>
      </x:c>
      <x:c r="D6" s="10" t="inlineStr">
        <x:is>
          <x:t xml:space="preserve">Low-relevance courses cut or replaced; assumption</x:t>
        </x:is>
      </x:c>
    </x:row>
    <x:row r="7">
      <x:c r="A7" s="18" t="inlineStr">
        <x:is>
          <x:t xml:space="preserve">1. L&amp;D spend optimisation</x:t>
        </x:is>
      </x:c>
      <x:c r="C7" s="22" t="n">
        <x:f>B5*B6</x:f>
        <x:v>14850000</x:v>
      </x:c>
      <x:c r="D7" s="10" t="inlineStr">
        <x:is>
          <x:t xml:space="preserve">THB / yr</x:t>
        </x:is>
      </x:c>
    </x:row>
    <x:row r="8">
      <x:c r="A8" s="7" t="inlineStr">
        <x:is>
          <x:t xml:space="preserve">Supervisor-level vacancies per year (group)</x:t>
        </x:is>
      </x:c>
      <x:c r="B8" s="17" t="n">
        <x:v>1200</x:v>
      </x:c>
      <x:c r="D8" s="10" t="inlineStr">
        <x:is>
          <x:t xml:space="preserve">people; assumption</x:t>
        </x:is>
      </x:c>
    </x:row>
    <x:row r="9">
      <x:c r="A9" s="7" t="inlineStr">
        <x:is>
          <x:t xml:space="preserve">Uplift in internal fill rate</x:t>
        </x:is>
      </x:c>
      <x:c r="B9" s="15" t="n">
        <x:v>0.12</x:v>
      </x:c>
      <x:c r="D9" s="10" t="inlineStr">
        <x:is>
          <x:t xml:space="preserve">percentage points; assumption</x:t>
        </x:is>
      </x:c>
    </x:row>
    <x:row r="10">
      <x:c r="A10" s="7" t="inlineStr">
        <x:is>
          <x:t xml:space="preserve">Cost avoided per external hire</x:t>
        </x:is>
      </x:c>
      <x:c r="B10" s="17" t="n">
        <x:v>100000</x:v>
      </x:c>
      <x:c r="D10" s="10" t="inlineStr">
        <x:is>
          <x:t xml:space="preserve">THB: recruitment, onboarding, ramp-up; assumption</x:t>
        </x:is>
      </x:c>
    </x:row>
    <x:row r="11">
      <x:c r="A11" s="18" t="inlineStr">
        <x:is>
          <x:t xml:space="preserve">2. Internal fills instead of external hires</x:t>
        </x:is>
      </x:c>
      <x:c r="C11" s="22" t="n">
        <x:f>B8*B9*B10</x:f>
        <x:v>14400000</x:v>
      </x:c>
      <x:c r="D11" s="10" t="inlineStr">
        <x:is>
          <x:t xml:space="preserve">THB / yr</x:t>
        </x:is>
      </x:c>
    </x:row>
    <x:row r="12">
      <x:c r="A12" s="7" t="inlineStr">
        <x:is>
          <x:t xml:space="preserve">Retail &amp; Distribution revenue</x:t>
        </x:is>
      </x:c>
      <x:c r="B12" s="17" t="n">
        <x:v>40000000000</x:v>
      </x:c>
      <x:c r="D12" s="10" t="inlineStr">
        <x:is>
          <x:t xml:space="preserve">THB / yr; assumption for the fictional BU</x:t>
        </x:is>
      </x:c>
    </x:row>
    <x:row r="13">
      <x:c r="A13" s="7" t="inlineStr">
        <x:is>
          <x:t xml:space="preserve">Shrink as share of revenue</x:t>
        </x:is>
      </x:c>
      <x:c r="B13" s="15" t="n">
        <x:v>0.015</x:v>
      </x:c>
      <x:c r="D13" s="10" t="inlineStr">
        <x:is>
          <x:t xml:space="preserve">assumption</x:t>
        </x:is>
      </x:c>
    </x:row>
    <x:row r="14">
      <x:c r="A14" s="7" t="inlineStr">
        <x:is>
          <x:t xml:space="preserve">Relative shrink reduction from supervisor capability</x:t>
        </x:is>
      </x:c>
      <x:c r="B14" s="15" t="n">
        <x:v>0.03</x:v>
      </x:c>
      <x:c r="D14" s="10" t="inlineStr">
        <x:is>
          <x:t xml:space="preserve">assumption; measured vs later-wave stores</x:t>
        </x:is>
      </x:c>
    </x:row>
    <x:row r="15">
      <x:c r="A15" s="18" t="inlineStr">
        <x:is>
          <x:t xml:space="preserve">3. Retail shrink reduction</x:t>
        </x:is>
      </x:c>
      <x:c r="C15" s="22" t="n">
        <x:f>B12*B13*B14</x:f>
        <x:v>18000000</x:v>
      </x:c>
      <x:c r="D15" s="10" t="inlineStr">
        <x:is>
          <x:t xml:space="preserve">THB / yr</x:t>
        </x:is>
      </x:c>
    </x:row>
    <x:row r="16">
      <x:c r="A16" s="7" t="inlineStr">
        <x:is>
          <x:t xml:space="preserve">OEE points gained on wave-1 packaging lines</x:t>
        </x:is>
      </x:c>
      <x:c r="B16" s="8" t="n">
        <x:v>0.5</x:v>
      </x:c>
      <x:c r="D16" s="10" t="inlineStr">
        <x:is>
          <x:t xml:space="preserve">points; assumption</x:t>
        </x:is>
      </x:c>
    </x:row>
    <x:row r="17">
      <x:c r="A17" s="7" t="inlineStr">
        <x:is>
          <x:t xml:space="preserve">Value per OEE point</x:t>
        </x:is>
      </x:c>
      <x:c r="B17" s="17" t="n">
        <x:v>8000000</x:v>
      </x:c>
      <x:c r="D17" s="10" t="inlineStr">
        <x:is>
          <x:t xml:space="preserve">THB / yr; assumption</x:t>
        </x:is>
      </x:c>
    </x:row>
    <x:row r="18">
      <x:c r="A18" s="18" t="inlineStr">
        <x:is>
          <x:t xml:space="preserve">4. Packaging OEE</x:t>
        </x:is>
      </x:c>
      <x:c r="C18" s="22" t="n">
        <x:f>B16*B17</x:f>
        <x:v>4000000</x:v>
      </x:c>
      <x:c r="D18" s="10" t="inlineStr">
        <x:is>
          <x:t xml:space="preserve">THB / yr</x:t>
        </x:is>
      </x:c>
    </x:row>
    <x:row r="19">
      <x:c r="A19" s="18" t="inlineStr">
        <x:is>
          <x:t xml:space="preserve">5. Admin and compliance (Skill Development Promotion Act reporting, manual reports)</x:t>
        </x:is>
      </x:c>
      <x:c r="B19" s="17" t="n">
        <x:v>2000000</x:v>
      </x:c>
      <x:c r="C19" s="22" t="n">
        <x:f>B19</x:f>
        <x:v>2000000</x:v>
      </x:c>
      <x:c r="D19" s="10" t="inlineStr">
        <x:is>
          <x:t xml:space="preserve">THB / yr; assumption</x:t>
        </x:is>
      </x:c>
    </x:row>
    <x:row r="21">
      <x:c r="A21" s="18" t="inlineStr">
        <x:is>
          <x:t xml:space="preserve">Total annual value at full scale</x:t>
        </x:is>
      </x:c>
      <x:c r="C21" s="23" t="n">
        <x:f>C7+C11+C15+C18+C19</x:f>
        <x:v>53250000</x:v>
      </x:c>
    </x:row>
    <x:row r="22">
      <x:c r="A22" s="7" t="inlineStr">
        <x:is>
          <x:t xml:space="preserve">Annual subscription at full scale</x:t>
        </x:is>
      </x:c>
      <x:c r="C22" s="33" t="n">
        <x:f>'Pricing &amp; P&amp;L'!D17</x:f>
        <x:v>21060000</x:v>
      </x:c>
    </x:row>
    <x:row r="23">
      <x:c r="A23" s="18" t="inlineStr">
        <x:is>
          <x:t xml:space="preserve">Value / subscription</x:t>
        </x:is>
      </x:c>
      <x:c r="C23" s="34" t="n">
        <x:f>IF(C22&gt;0,C21/C22,0)</x:f>
        <x:v>2.5284900284900287</x:v>
      </x:c>
    </x:row>
    <x:row r="25">
      <x:c r="A25" s="5" t="inlineStr">
        <x:is>
          <x:t xml:space="preserve">Value ramp (business results lag capability)</x:t>
        </x:is>
      </x:c>
    </x:row>
    <x:row r="26">
      <x:c r="A26" s="7" t="inlineStr">
        <x:is>
          <x:t xml:space="preserve">Year 1 share of full value</x:t>
        </x:is>
      </x:c>
      <x:c r="B26" s="15" t="n">
        <x:v>0.15</x:v>
      </x:c>
      <x:c r="C26" s="20" t="n">
        <x:f>B26*$C$21</x:f>
        <x:v>7987500</x:v>
      </x:c>
    </x:row>
    <x:row r="27">
      <x:c r="A27" s="7" t="inlineStr">
        <x:is>
          <x:t xml:space="preserve">Year 2 share of full value</x:t>
        </x:is>
      </x:c>
      <x:c r="B27" s="15" t="n">
        <x:v>0.6</x:v>
      </x:c>
      <x:c r="C27" s="20" t="n">
        <x:f>B27*$C$21</x:f>
        <x:v>31950000</x:v>
      </x:c>
    </x:row>
    <x:row r="28">
      <x:c r="A28" s="7" t="inlineStr">
        <x:is>
          <x:t xml:space="preserve">Year 3 share of full value</x:t>
        </x:is>
      </x:c>
      <x:c r="B28" s="15" t="n">
        <x:v>1</x:v>
      </x:c>
      <x:c r="C28" s="20" t="n">
        <x:f>B28*$C$21</x:f>
        <x:v>53250000</x:v>
      </x:c>
    </x:row>
    <x:row r="29">
      <x:c r="A29" s="18" t="inlineStr">
        <x:is>
          <x:t xml:space="preserve">3-year value</x:t>
        </x:is>
      </x:c>
      <x:c r="C29" s="22" t="n">
        <x:f>SUM(C26:C28)</x:f>
        <x:v>93187500</x:v>
      </x:c>
    </x:row>
    <x:row r="30">
      <x:c r="A30" s="7" t="inlineStr">
        <x:is>
          <x:t xml:space="preserve">3-year client spend</x:t>
        </x:is>
      </x:c>
      <x:c r="C30" s="33" t="n">
        <x:f>'Pricing &amp; P&amp;L'!E8</x:f>
        <x:v>80342000</x:v>
      </x:c>
    </x:row>
    <x:row r="31">
      <x:c r="A31" s="18" t="inlineStr">
        <x:is>
          <x:t xml:space="preserve">3-year value / spend</x:t>
        </x:is>
      </x:c>
      <x:c r="C31" s="35" t="n">
        <x:f>IF(C30&gt;0,C29/C30,0)</x:f>
        <x:v>1.1598852405964502</x:v>
      </x:c>
    </x:row>
    <x:row r="33">
      <x:c r="A33" s="3" t="inlineStr">
        <x:is>
          <x:t xml:space="preserve">Break-even check: the shrink lever alone needs this relative reduction to cover the full-scale subscription</x:t>
        </x:is>
      </x:c>
      <x:c r="C33" s="24" t="n">
        <x:f>C22/(B12*B13)</x:f>
        <x:v>0.0351</x:v>
      </x:c>
    </x:row>
    <x:row r="35">
      <x:c r="A35" s="9" t="inlineStr">
        <x:is>
          <x:t xml:space="preserve">Measurement: staggered waves give a comparison group (later-wave BUs and stores act as controls), so the causal read comes after 2-3 quarters. The dashboard shows correlation until then.</x:t>
        </x:is>
      </x:c>
    </x:row>
  </x:sheetData>
  <x:pageMargins left="0.7" right="0.7" top="0.75" bottom="0.75" header="0.3" footer="0.3"/>
</x:worksheet>
</file>